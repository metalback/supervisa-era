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2"/>
  <workbookPr/>
  <bookViews>
    <workbookView xWindow="-20520" yWindow="-120" windowWidth="20640" windowHeight="11040" tabRatio="225" activeTab="1"/>
  </bookViews>
  <sheets>
    <sheet name="ANTECEDENTES" sheetId="2" r:id="rId1"/>
    <sheet name="PAUTA_ERA" sheetId="1" r:id="rId2"/>
  </sheets>
  <calcPr calcId="144525"/>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1" i="1" l="1"/>
  <c r="C81" i="1"/>
  <c r="I24" i="1"/>
  <c r="I23" i="1"/>
  <c r="D82" i="1" l="1"/>
  <c r="C82" i="1"/>
  <c r="C4" i="2"/>
  <c r="C5" i="2"/>
  <c r="I76" i="1"/>
  <c r="I36" i="1"/>
  <c r="I26" i="1"/>
  <c r="I27" i="1"/>
  <c r="I28" i="1"/>
  <c r="I29" i="1"/>
  <c r="I25" i="1"/>
  <c r="F81" i="1" l="1"/>
  <c r="I81" i="1" s="1"/>
  <c r="F82" i="1"/>
  <c r="I82" i="1" s="1"/>
</calcChain>
</file>

<file path=xl/sharedStrings.xml><?xml version="1.0" encoding="utf-8"?>
<sst xmlns="http://schemas.openxmlformats.org/spreadsheetml/2006/main" count="201" uniqueCount="166">
  <si>
    <t>POBLACIÓN ESTIMADA SEGÚN PREVALENCIA</t>
  </si>
  <si>
    <t>Personas de 20 años y mas inscritas y validadas*.</t>
  </si>
  <si>
    <t>Registre aquí</t>
  </si>
  <si>
    <t>Personas de 40 años y mas inscritas y validadas*.</t>
  </si>
  <si>
    <r>
      <t xml:space="preserve">Prevalencia estimada de asma </t>
    </r>
    <r>
      <rPr>
        <sz val="11"/>
        <color theme="1"/>
        <rFont val="Calibri"/>
        <family val="2"/>
      </rPr>
      <t>≥ 20 años, según PIV.</t>
    </r>
  </si>
  <si>
    <r>
      <t xml:space="preserve">Prevalencia estimada de EPOC </t>
    </r>
    <r>
      <rPr>
        <sz val="11"/>
        <color theme="1"/>
        <rFont val="Calibri"/>
        <family val="2"/>
      </rPr>
      <t>≥ 40 años</t>
    </r>
    <r>
      <rPr>
        <sz val="11"/>
        <color theme="1"/>
        <rFont val="Calibri"/>
        <family val="2"/>
        <scheme val="minor"/>
      </rPr>
      <t>, según PIV.</t>
    </r>
  </si>
  <si>
    <t>**REVISAR CELDAS AUTOMATICAS DE NIVEL DE LOGRO</t>
  </si>
  <si>
    <t>**VINCULAR CON HOJA 2</t>
  </si>
  <si>
    <t>INSTRUCCIONES</t>
  </si>
  <si>
    <t>En la planilla adjunta se presentan 3 alternativas con diferentes formas de registrar la información solicitada. Por favor lea atentamente cada uno de los indicadores y complete según corresponda:
A. Texto libre.
B. Cálculo de proporciones: Incorpore los valores correspondientes al numerador y denominador, y automáticamente se realizará el cálculo.
C. Lista desplegable con 2 alternativas: "0" y "1".</t>
  </si>
  <si>
    <t>RESULTADOS</t>
  </si>
  <si>
    <t>La planilla se encuentra automatizada, de tal modo que realiza la suma de cada una de las casillas arrojando un valor, al igual que la interpretación de los resultados, otorgando 3 alternativas: 
A. LOGRADO
B. PARCIALMENTE LOGRADO
C. POR LOGRAR</t>
  </si>
  <si>
    <t>BIBLIOGRAFÍA</t>
  </si>
  <si>
    <t>Ministerio de Salud (MINSAL). Manual Operativo: Programas de salud respiratoria. [Internet]. 2015. Disponible en: http://www.repositoriodigital.minsal.cl/bitstream/handle/2015/882/011.Manual-operativo-Programas-Salud-respiratoria.pdf?sequence=1&amp;isAllowed=y</t>
  </si>
  <si>
    <t>Ministerio de Salud (MINSAL). Orientaciones técnicas para la planificación y programación en red, año 2024. [Internet]. 2023 Sep [citado 5 de julio de 2024]. Disponible en: https://www.minsal.cl/wp-content/uploads/2021/09/Orientaciones-para-la-Planificacion-en-Red-2024.pdf</t>
  </si>
  <si>
    <t>Ministerio de Salud (MINSAL). Programa de rehabilitación pulmonar para la Atención Primaria de Salud. [Internet]. Disponible en: http://www.repositoriodigital.minsal.cl/bitstream/handle/2015/915/Programa-de-Rehabilitacion-Pulmonar-Para-La-Atencion-Primaria-de-Salud.pdf?sequence=1&amp;isAllowed=y</t>
  </si>
  <si>
    <t>Ministerio de Salud (MINSAL). Resolución exenta N° 165, 6 abril 2020. Aprueba programa de adquisición y gestión de medicamentos e insumos para programas ministeriales de atención primaria de salud. 2020.</t>
  </si>
  <si>
    <t xml:space="preserve">Resultados preliminares estudio PUC, no publicados. Evaluación Gestor de citas entre 2015-18, resultados favorables que sugieren su mantención.   </t>
  </si>
  <si>
    <t>Superintendencia de Salud. Manual del estándar general de acreditación para prestadores institucionales de atención abierta. [Internet]. Disponible en: https://www.supersalud.gob.cl/observatorio/671/articles-4530_Manual_AA_pdf.pdf</t>
  </si>
  <si>
    <t>Ministerio de Salud (MINSAL). Norma Técnica Básica para la obtención de Autorización Sanitaria de salas de procedimientos y pabellones de cirugía menor [Internet]. 2021 [citado 13 de febrero 2023]. Disponible en: https://www.minsal.cl/wp-content/uploads/2021/01/05.-NTB-atencion-abierta.pdf</t>
  </si>
  <si>
    <t xml:space="preserve">Ministerio de Salud (MINSAL). Manual Series REM. 2023. </t>
  </si>
  <si>
    <t>Instituto de Salud Pública (ISP). Instructivo para la notificación de sospechas de reacciones adversas a medicamentos 2020. [Internet]. 2020 [citado 29 de noviembre de 2021]. Disponible en: https://www.ispch.cl/sites/default/files/INSTRUCTIVO_PARA_LA_NOTIFICACION_DE_SOSPECHAS_DE_REACCIONES_ADVERSAS_A_MEDICAMENTOS_2020.pdf.pdf</t>
  </si>
  <si>
    <t>Ministerio de Salud (MINSAL). Aprueba reglamento del sistema nacional de control de los productos farmacéuticos de uso humano. [Internet]. www.bcn.cl/leychile. 2011 [citado 3 de diciembre de 2021]. Disponible en: https://www.bcn.cl/leychile</t>
  </si>
  <si>
    <t>Ministerio de Salud (MINSAL). Marco operativo: Estrategia de cuidado integral centrado en las personas. [Internet]. 2021. Disponible en: https://www.minsal.cl/wp-content/uploads/2021/06/Marco-operativo_-Estrategia-de-cuidado-integral-centrado-en-las-personas.pdf</t>
  </si>
  <si>
    <t>OECD. Health at a Glance 2023 OECD INDICATORS [Internet]. 2023 [cited 2024 Jul 5]. Available from: https://www.oecd-ilibrary.org/social-issues-migration-health/health-at-a-glance-2023_7a7afb35-en</t>
  </si>
  <si>
    <t>Ministerio de Salud (MINSAL). Normas Técnicas Programa de Control de las Enfermedades Respiratorias del Adulto en Chile. 2001.</t>
  </si>
  <si>
    <t>Ministerio de Salud (MINSAL). Orientación técnica Actividad física de ejercicio según curso de vida y comorbilidad [Internet]. 2021 [citado 15 febrero 2023]. Disponible en: https://redcronicas.minsal.cl/orientacion-tecnica-actividad-fisica-y-ejercicio-segun-curso-de-vida-y-comorbilidad/</t>
  </si>
  <si>
    <t>Organización Panamericana de la Salud (OPS). Plan Estratégico de la Organización Panamericana de la Salud 2020-2025: La equidad, el corazón de la salud [Internet]. Washington, D.C.: Organización Panamericana de la Salud; 2020 [citado 5 de diciembre de 2021]. 150 p. Disponible en: https://iris.paho.org/handle/10665.2/52717</t>
  </si>
  <si>
    <t>Ministerio de Salud (MINSAL). Coberturas preliminares [Internet]. #YoMeVacuno. [citado 5 de diciembre de 2021]. Disponible en: https://vacunas.minsal.cl/coberturas-preliminares/</t>
  </si>
  <si>
    <t xml:space="preserve">Ministerio de Salud (MINSAL). Norma Técnica para el Control y Eliminación de la Tuberculosis [Internet]. [citado 02 de junio de 2023]. Disponible en: https://diprece.minsal.cl/wp-content/uploads/2022/07/2022.06.30_NORMA-TECNICA-TUBERCULOSIS-v4.pdf </t>
  </si>
  <si>
    <t>Ministerio de Salud (MINSAL). Instrumento para la evaluación y certificación del desarrollo en el Modelo de Atención Integral de Salud Familiar y Comunitaria en establecimientos de Atención Primaria, año 2020. Versión 04-12-2019.</t>
  </si>
  <si>
    <t>Ministerio de Salud (MINSAL). Norma técnica de auditorías de defunciones por neumonía en domicilio [Internet]. [citado 20 de enero de 2023]. Disponible en: https://www.minsal.cl/sites/default/files/files/NORMA_TECNICA_DEFUNCIONES_POR_NEUMONIA_web.pdf</t>
  </si>
  <si>
    <t>*</t>
  </si>
  <si>
    <t>Información referencial.</t>
  </si>
  <si>
    <t>PAUTA DE MONITOREO Y SUPERVISIÓN DEL PROCESO DE ATENCIÓN DE SALUD RESPIRATORIA EN SALA ERA</t>
  </si>
  <si>
    <t>ASPECTOS GENERALES</t>
  </si>
  <si>
    <t>Fecha:</t>
  </si>
  <si>
    <t>SEREMI:</t>
  </si>
  <si>
    <t>Nombre referente SEREMI:</t>
  </si>
  <si>
    <t>Servicio de Salud:</t>
  </si>
  <si>
    <t>Nombre referente Servicio de Salud:</t>
  </si>
  <si>
    <t>IDENTIFICACIÓN</t>
  </si>
  <si>
    <t>Establecimiento:</t>
  </si>
  <si>
    <t>ID establecimiento de salud:</t>
  </si>
  <si>
    <t>Comuna:</t>
  </si>
  <si>
    <t>Región:</t>
  </si>
  <si>
    <t>Nº de establecimientos a cargo de su jurisdicción (CECOSF, postas rurales):</t>
  </si>
  <si>
    <t>Director(a) del establecimiento:</t>
  </si>
  <si>
    <t>Encargado(a) Sala ERA:</t>
  </si>
  <si>
    <t>Población bajo control en programa ERA (total Registro Estadístico Mensual (REM) P3):</t>
  </si>
  <si>
    <t>N° de horas semanales destinadas para trabajo administrativo (indique):</t>
  </si>
  <si>
    <t>Correo electrónico:</t>
  </si>
  <si>
    <t>INDICADOR</t>
  </si>
  <si>
    <t>DATO OBTENIDO</t>
  </si>
  <si>
    <t>VERIFICADOR</t>
  </si>
  <si>
    <t>NUMERADOR</t>
  </si>
  <si>
    <t>DENOMINADOR</t>
  </si>
  <si>
    <t>RESULTADO</t>
  </si>
  <si>
    <t>OBSERVACIONES</t>
  </si>
  <si>
    <t xml:space="preserve">Tasa de hospitalización por asma </t>
  </si>
  <si>
    <t xml:space="preserve">Este indicador debe ser calculado por referente de SS y SEREMI, y presentar resultado por SS y por región, respectivamente. Considerar que los datos de hospitalización disponibles corresponden al año anterior a la evaluación. Para determinar los egresos hospitalarios en las regiones que tienen más de un SS, se debe sumar el número de egresos hospitalarios de los SS que corresponden a la región evaluada, como numerador, y dejar como denominador la PIV FONASA del total de los SS. </t>
  </si>
  <si>
    <t>Tasa de hospitalización por enfermedad pulmonar obstructiva crónica</t>
  </si>
  <si>
    <t>Cobertura de enfermedades respiratorias crónicas (asma y EPOC).</t>
  </si>
  <si>
    <r>
      <rPr>
        <b/>
        <sz val="10"/>
        <color theme="1"/>
        <rFont val="Calibri"/>
        <family val="2"/>
      </rPr>
      <t xml:space="preserve">
Numerador:
</t>
    </r>
    <r>
      <rPr>
        <sz val="10"/>
        <color theme="1"/>
        <rFont val="Calibri"/>
        <family val="2"/>
      </rPr>
      <t>Número de personas con EPOC ≥ 40 años más (+) número de personas con asma ≥ 20 años bajo control en el programa de salud respiratoria de Atención Primaria (programa ERA), según última serie REM-P disponible.</t>
    </r>
    <r>
      <rPr>
        <b/>
        <sz val="10"/>
        <color theme="1"/>
        <rFont val="Calibri"/>
        <family val="2"/>
      </rPr>
      <t xml:space="preserve">
Denominador:</t>
    </r>
    <r>
      <rPr>
        <sz val="10"/>
        <color theme="1"/>
        <rFont val="Calibri"/>
        <family val="2"/>
      </rPr>
      <t xml:space="preserve">
Número de personas con EPOC ≥ 40 años más (+) número de personas con asma ≥ 20 años esperadas según prevalencia, en población inscrita y validada (PIV) para el año en curso (OT Meta Sanitaria Vigente (2024: EPOC 11,7%, ASMA 10%).
</t>
    </r>
    <r>
      <rPr>
        <b/>
        <sz val="10"/>
        <color theme="1"/>
        <rFont val="Calibri"/>
        <family val="2"/>
      </rPr>
      <t>Amplificador:</t>
    </r>
    <r>
      <rPr>
        <sz val="10"/>
        <color theme="1"/>
        <rFont val="Calibri"/>
        <family val="2"/>
      </rPr>
      <t xml:space="preserve"> 
100 (expresado en porcentaje).
</t>
    </r>
    <r>
      <rPr>
        <b/>
        <sz val="10"/>
        <color theme="1"/>
        <rFont val="Calibri"/>
        <family val="2"/>
      </rPr>
      <t xml:space="preserve">Fuente de información:
</t>
    </r>
    <r>
      <rPr>
        <sz val="10"/>
        <color theme="1"/>
        <rFont val="Calibri"/>
        <family val="2"/>
      </rPr>
      <t xml:space="preserve">Numerador: REM P3, sección A.
Denominador: Registro de PIV.
</t>
    </r>
  </si>
  <si>
    <t xml:space="preserve">Utilice la planilla de cálculo automático y registre aquí el resultado expresado en porcentaje, indique fecha de serie REM-P utilizada.  </t>
  </si>
  <si>
    <t>Cobertura efectiva de asma en personas de 20 años y más.</t>
  </si>
  <si>
    <t xml:space="preserve">Utilice la planilla de cálculo automático y registre aquí el resultado expresado en porcentaje, indique fecha de serie REM-P utilizada. </t>
  </si>
  <si>
    <t>Cobertura efectiva de EPOC en personas de 40 años y más.</t>
  </si>
  <si>
    <r>
      <rPr>
        <b/>
        <sz val="10"/>
        <color rgb="FF000000"/>
        <rFont val="Calibri"/>
        <family val="2"/>
      </rPr>
      <t xml:space="preserve">
Numerador:
</t>
    </r>
    <r>
      <rPr>
        <sz val="10"/>
        <color rgb="FF000000"/>
        <rFont val="Calibri"/>
        <family val="2"/>
      </rPr>
      <t xml:space="preserve">Número de personas bajo control en programas de salud respiratoria de Atención Primaria por diagnóstico de EPOC ≥ 40 años que “logra control adecuado”*, según última serie REM-P disponible (de acuerdo con definición vigente en manual REM).
</t>
    </r>
    <r>
      <rPr>
        <b/>
        <sz val="10"/>
        <color rgb="FF000000"/>
        <rFont val="Calibri"/>
        <family val="2"/>
      </rPr>
      <t xml:space="preserve">
Denominador:
</t>
    </r>
    <r>
      <rPr>
        <sz val="10"/>
        <color rgb="FF000000"/>
        <rFont val="Calibri"/>
        <family val="2"/>
      </rPr>
      <t xml:space="preserve">Total de personas con EPOC ≥ a 40 años estimada según prevalencia**, en PIV del año en curso.
</t>
    </r>
    <r>
      <rPr>
        <b/>
        <sz val="10"/>
        <color rgb="FF000000"/>
        <rFont val="Calibri"/>
        <family val="2"/>
      </rPr>
      <t xml:space="preserve">
Amplificador: 
</t>
    </r>
    <r>
      <rPr>
        <sz val="10"/>
        <color rgb="FF000000"/>
        <rFont val="Calibri"/>
        <family val="2"/>
      </rPr>
      <t xml:space="preserve">100 (porcentaje).
*Según definición vigente en manual REM.
**Prevalencia: Según OT Meta Sanitaria Vigente (2024: EPOC 11,7%).
</t>
    </r>
    <r>
      <rPr>
        <b/>
        <sz val="10"/>
        <color rgb="FF000000"/>
        <rFont val="Calibri"/>
        <family val="2"/>
      </rPr>
      <t xml:space="preserve">Fuente de información:
</t>
    </r>
    <r>
      <rPr>
        <sz val="10"/>
        <color rgb="FF000000"/>
        <rFont val="Calibri"/>
        <family val="2"/>
      </rPr>
      <t xml:space="preserve">Numerador: REM P3, sección D.
Denominador: Registro de PIV.
</t>
    </r>
  </si>
  <si>
    <t>Personas con diagnóstico de EPOC que finalizan Programa de Rehabilitación Pulmonar en Sala IRA-ERA.</t>
  </si>
  <si>
    <r>
      <t xml:space="preserve">
Numerador:
</t>
    </r>
    <r>
      <rPr>
        <sz val="10"/>
        <color theme="1"/>
        <rFont val="Calibri"/>
        <family val="2"/>
      </rPr>
      <t>Número de personas de 40 años y más, bajo control en el programa ERA por diagnóstico de EPOC, que han finalizado el programa de Rehabilitación Pulmonar (“egreso por término de ciclo”)*, según última serie REM-P disponible.</t>
    </r>
    <r>
      <rPr>
        <b/>
        <sz val="10"/>
        <color theme="1"/>
        <rFont val="Calibri"/>
        <family val="2"/>
      </rPr>
      <t xml:space="preserve">
Denominador:
</t>
    </r>
    <r>
      <rPr>
        <sz val="10"/>
        <color theme="1"/>
        <rFont val="Calibri"/>
        <family val="2"/>
      </rPr>
      <t>Total de personas de 40 años y más con diagnóstico de EPOC, que se encuentran bajo control en el Programa ERA, según última serie REM-P disponible.</t>
    </r>
    <r>
      <rPr>
        <b/>
        <sz val="10"/>
        <color theme="1"/>
        <rFont val="Calibri"/>
        <family val="2"/>
      </rPr>
      <t xml:space="preserve">
Amplificador: 
</t>
    </r>
    <r>
      <rPr>
        <sz val="10"/>
        <color theme="1"/>
        <rFont val="Calibri"/>
        <family val="2"/>
      </rPr>
      <t xml:space="preserve">100 (expresado en porcentaje).
</t>
    </r>
    <r>
      <rPr>
        <b/>
        <sz val="10"/>
        <color theme="1"/>
        <rFont val="Calibri"/>
        <family val="2"/>
      </rPr>
      <t xml:space="preserve">
Fuente de información:
</t>
    </r>
    <r>
      <rPr>
        <sz val="10"/>
        <color theme="1"/>
        <rFont val="Calibri"/>
        <family val="2"/>
      </rPr>
      <t xml:space="preserve">Numerador: REM P3, sección C.
Denominador: REM P3, sección A. 
*Según definición REM vigente.
</t>
    </r>
    <r>
      <rPr>
        <b/>
        <sz val="10"/>
        <color theme="1"/>
        <rFont val="Calibri"/>
        <family val="2"/>
      </rPr>
      <t xml:space="preserve">
</t>
    </r>
  </si>
  <si>
    <t xml:space="preserve">Utilice la planilla de cálculo automático y registre aquí el resultado expresado en porcentaje.
Describa tipo de modalidad que actualmente aplica para realizar RHP (presencial/ remota/ domiciliaria/mixta). </t>
  </si>
  <si>
    <t>Proporción de población con patología respiratoria crónica egresada por “abandono”.</t>
  </si>
  <si>
    <r>
      <rPr>
        <b/>
        <sz val="10"/>
        <color rgb="FF000000"/>
        <rFont val="Calibri"/>
        <family val="2"/>
      </rPr>
      <t xml:space="preserve">
Numerador:</t>
    </r>
    <r>
      <rPr>
        <sz val="10"/>
        <color rgb="FF000000"/>
        <rFont val="Calibri"/>
        <family val="2"/>
      </rPr>
      <t xml:space="preserve"> 
Personas que egresan del programa ERA por abandono* (considerar últimos 12 meses).
</t>
    </r>
    <r>
      <rPr>
        <b/>
        <sz val="10"/>
        <color rgb="FF000000"/>
        <rFont val="Calibri"/>
        <family val="2"/>
      </rPr>
      <t xml:space="preserve">
Denominador:  
</t>
    </r>
    <r>
      <rPr>
        <sz val="10"/>
        <color rgb="FF000000"/>
        <rFont val="Calibri"/>
        <family val="2"/>
      </rPr>
      <t xml:space="preserve">Total de personas egresadas del programa ERA.
</t>
    </r>
    <r>
      <rPr>
        <b/>
        <sz val="10"/>
        <color rgb="FF000000"/>
        <rFont val="Calibri"/>
        <family val="2"/>
      </rPr>
      <t xml:space="preserve">
Amplificador:</t>
    </r>
    <r>
      <rPr>
        <sz val="10"/>
        <color rgb="FF000000"/>
        <rFont val="Calibri"/>
        <family val="2"/>
      </rPr>
      <t xml:space="preserve"> 
100 (expresado en porcentaje).
</t>
    </r>
    <r>
      <rPr>
        <b/>
        <sz val="10"/>
        <color rgb="FF000000"/>
        <rFont val="Calibri"/>
        <family val="2"/>
      </rPr>
      <t xml:space="preserve">
Fuente de información:
</t>
    </r>
    <r>
      <rPr>
        <sz val="10"/>
        <color rgb="FF000000"/>
        <rFont val="Calibri"/>
        <family val="2"/>
      </rPr>
      <t xml:space="preserve">Numerador: REM A23, sección C, columna AK "abandono".
Denominador: REM A23, sección C, total de egresos.
</t>
    </r>
    <r>
      <rPr>
        <b/>
        <sz val="10"/>
        <color rgb="FF000000"/>
        <rFont val="Calibri"/>
        <family val="2"/>
      </rPr>
      <t xml:space="preserve">
</t>
    </r>
    <r>
      <rPr>
        <sz val="10"/>
        <color rgb="FF000000"/>
        <rFont val="Calibri"/>
        <family val="2"/>
      </rPr>
      <t>*Según definición REM vigente.</t>
    </r>
  </si>
  <si>
    <t xml:space="preserve">Utilice la planilla de cálculo automático y registre aquí el resultado expresado en porcentaje. </t>
  </si>
  <si>
    <t>ESTRUCTURA</t>
  </si>
  <si>
    <t>Puntaje (Si: 1 punto/No: 0 puntos)</t>
  </si>
  <si>
    <t>MÉDICA(O)</t>
  </si>
  <si>
    <t>KINESIÓLOGA(O)</t>
  </si>
  <si>
    <t>ENFERMERA(O)</t>
  </si>
  <si>
    <t>Horas profesionales destinadas a la atención de personas con condiciones de salud respiratoria (1,2).</t>
  </si>
  <si>
    <t>e</t>
  </si>
  <si>
    <t>Profesionales que realizan atención de personas con condiciones de salud respiratoria, ¿tienen capacitación formal y vigente para el abordaje de personas con enfermedades respiratorias del adulto? (1,2).</t>
  </si>
  <si>
    <r>
      <t xml:space="preserve">Realice el siguiente cálculo y registre en observaciones el porcentaje de profesionales </t>
    </r>
    <r>
      <rPr>
        <u/>
        <sz val="10"/>
        <color theme="1"/>
        <rFont val="Calibri"/>
        <family val="2"/>
      </rPr>
      <t>médicos, kinesiológos y/o enfermeras</t>
    </r>
    <r>
      <rPr>
        <sz val="10"/>
        <color theme="1"/>
        <rFont val="Calibri"/>
        <family val="2"/>
      </rPr>
      <t xml:space="preserve">, que realizan atención de personas con condiciones de salud respiratoria y que tienen capacitación formal y vigente* para el abordaje de personas con enfermedades respiratorias del adulto:
</t>
    </r>
    <r>
      <rPr>
        <b/>
        <sz val="10"/>
        <color theme="1"/>
        <rFont val="Calibri"/>
        <family val="2"/>
      </rPr>
      <t>Numerador:</t>
    </r>
    <r>
      <rPr>
        <sz val="10"/>
        <color theme="1"/>
        <rFont val="Calibri"/>
        <family val="2"/>
      </rPr>
      <t xml:space="preserve"> 
N° profesionales con capacitación formal y vigente.
</t>
    </r>
    <r>
      <rPr>
        <b/>
        <sz val="10"/>
        <color theme="1"/>
        <rFont val="Calibri"/>
        <family val="2"/>
      </rPr>
      <t>Denominador:</t>
    </r>
    <r>
      <rPr>
        <sz val="10"/>
        <color theme="1"/>
        <rFont val="Calibri"/>
        <family val="2"/>
      </rPr>
      <t xml:space="preserve"> 
N° de profesionales que proporcionan atención a personas con condiciones de salud respiratoria (programa ERA).
</t>
    </r>
    <r>
      <rPr>
        <b/>
        <sz val="10"/>
        <color theme="1"/>
        <rFont val="Calibri"/>
        <family val="2"/>
      </rPr>
      <t>Amplificador:</t>
    </r>
    <r>
      <rPr>
        <sz val="10"/>
        <color theme="1"/>
        <rFont val="Calibri"/>
        <family val="2"/>
      </rPr>
      <t xml:space="preserve"> 
100 (expresado en porcentaje).
</t>
    </r>
    <r>
      <rPr>
        <b/>
        <sz val="10"/>
        <color theme="1"/>
        <rFont val="Calibri"/>
        <family val="2"/>
      </rPr>
      <t>Fuente de información:</t>
    </r>
    <r>
      <rPr>
        <sz val="10"/>
        <color theme="1"/>
        <rFont val="Calibri"/>
        <family val="2"/>
      </rPr>
      <t xml:space="preserve">
Registro local.
</t>
    </r>
    <r>
      <rPr>
        <b/>
        <sz val="10"/>
        <color theme="1"/>
        <rFont val="Calibri"/>
        <family val="2"/>
      </rPr>
      <t>Nota:</t>
    </r>
    <r>
      <rPr>
        <sz val="10"/>
        <color theme="1"/>
        <rFont val="Calibri"/>
        <family val="2"/>
      </rPr>
      <t xml:space="preserve"> 
</t>
    </r>
    <r>
      <rPr>
        <b/>
        <u/>
        <sz val="11"/>
        <color theme="1"/>
        <rFont val="Calibri"/>
        <family val="2"/>
      </rPr>
      <t>Seleccione "1" si el porcentaje de funcionarios capacitados supera el 50%.</t>
    </r>
    <r>
      <rPr>
        <sz val="10"/>
        <color theme="1"/>
        <rFont val="Calibri"/>
        <family val="2"/>
      </rPr>
      <t xml:space="preserve"> Adicionalmente, incorpore en observaciones el porcentaje obtenido.
*Se entiende por capacitación formal, aquella que cuenta con certificado de aprobación emitido por alguna institución formadora. El término vigencia hace referencia a un periodo no superior a 5 años. </t>
    </r>
  </si>
  <si>
    <t>Temáticas de capacitación:
• Manejo y control de las patologías respiratorias del adulto (ERA).
• Rehabilitación Pulmonar.
• Interpretación de Radiografía de tórax.
• Exámenes funcionales respiratorios: Espirometría.
• Educación para la Salud.</t>
  </si>
  <si>
    <t xml:space="preserve">Box de uso exclusivo para la atención de personas con condiciones de salud respiratoria (1). </t>
  </si>
  <si>
    <t xml:space="preserve">Señale si el box es de uso exclusivo para la atención de salud respiratoria. Si en dicho box se realizan otro tipo de prestaciones, registre 0. 
Indique adicionalmente, si la atención se brinda de forma individual o simultánea con otro profesional. </t>
  </si>
  <si>
    <t xml:space="preserve">Acceso a examen radiológico (ininterrumpido durante los últimos 12 meses) (1). </t>
  </si>
  <si>
    <t>Describa y adjunte (convenio u otro).</t>
  </si>
  <si>
    <t xml:space="preserve">Disponibilidad de espirómetro e insumos para la realización del procedimiento (1). </t>
  </si>
  <si>
    <t xml:space="preserve">Describa: cantidad, marca, modelo, n° de serie, n° de inventario, año de fabricación y adquisición, vida útil, estado (bueno/regular/malo).
Registre si el centro cuenta con bitácora de calibración, y última calibración realizada. </t>
  </si>
  <si>
    <t xml:space="preserve">Disponibilidad de flujómetro e insumos para la realización del procedimiento (1). </t>
  </si>
  <si>
    <t xml:space="preserve">Describa: cantidad, marca, modelo, n° de serie, n° de inventario, año de fabricación y adquisición, vida útil, estado (bueno/regular/malo).
</t>
  </si>
  <si>
    <t xml:space="preserve">Disponibilidad de oxigenoterapia e insumos para la realización del procedimiento (1). </t>
  </si>
  <si>
    <t>Describa tipo de administración (incluye disponibilidad de saturometría, estado).  
Adjunte adicionalmente registro de mantención.</t>
  </si>
  <si>
    <t xml:space="preserve">Disponibilidad de sistema de aspiración de secreciones e insumos para la realización del procedimiento (1). </t>
  </si>
  <si>
    <t>Describa: cantidad, marca, modelo, n° de serie, n° de inventario, año de fabricación y adquisición, vida útil, estado (bueno/regular/malo).
Adjunte adicionalmente registro de mantención.</t>
  </si>
  <si>
    <t>Disponibilidad de insumos para ejecutar programa de rehabilitación pulmonar (1, 3).</t>
  </si>
  <si>
    <t>Describa: tipo, cantidad, estado del/los aparato/s, n° de inventario, año de fabricación y adquisición, vida útil.</t>
  </si>
  <si>
    <t xml:space="preserve">Disponibilidad de infraestructura para ejecutar programa de rehabilitación pulmonar (1, 3). </t>
  </si>
  <si>
    <t xml:space="preserve">Decriba infraestructura utilizada. </t>
  </si>
  <si>
    <t xml:space="preserve">Disponibilidad de fármacos e insumos para sala ERA incorporados en el Programa de Adquisición y Gestión de Medicamentos e Insumos para Programas Ministeriales de Atención Primaria de Salud vigente (4). </t>
  </si>
  <si>
    <t>Dispone de sistema para la confirmación de citas con anticipación (5).</t>
  </si>
  <si>
    <t>Indique mecanismo utilizado y resultado de su implementación en el nivel local.</t>
  </si>
  <si>
    <t>PROCESOS</t>
  </si>
  <si>
    <t>PROTOCOLOS</t>
  </si>
  <si>
    <r>
      <t>Protocolo vigente del establecimiento para la gestión de insumos de farmacia (estimación de la demanda, análisis y estrategias para evitar mermas y en casos excepcionales, gestión de estas, entre otros) que incluya fármacos de sala ERA (1,4)</t>
    </r>
    <r>
      <rPr>
        <sz val="10"/>
        <color theme="1"/>
        <rFont val="Calibri"/>
        <family val="2"/>
      </rPr>
      <t>.</t>
    </r>
  </si>
  <si>
    <t>Adjunte protocolo y evaluación del periodo.</t>
  </si>
  <si>
    <t>Protocolo  vigente del establecimiento para la mantención y reposición de equipos, que incluya dispositivos utilizados en sala ERA (incluye planificación y evaluación del cumplimiento en el periodo para espirómetros, saturómetros, flujómetros, esfigmomanómetros, etc.) (6,7).</t>
  </si>
  <si>
    <t xml:space="preserve">Protocolo vigente para la referencia y contrarreferencia con los niveles 2º/3º de atención (que incluya la descripción del flujo de derivación de sala ERA a especialidad y viceversa) (1,2). </t>
  </si>
  <si>
    <t>Adjunte protocolo del SS.</t>
  </si>
  <si>
    <r>
      <t>Protocolo de derivación local vigente desde y hacia el programa (incluye flujograma de derivación desde diversas unidades del establecimiento y extrasistema a prestaciones propias del programa y rehabilitación pulmonar)</t>
    </r>
    <r>
      <rPr>
        <sz val="10"/>
        <color theme="1"/>
        <rFont val="Calibri"/>
        <family val="2"/>
      </rPr>
      <t xml:space="preserve"> </t>
    </r>
    <r>
      <rPr>
        <b/>
        <sz val="10"/>
        <color theme="1"/>
        <rFont val="Calibri"/>
        <family val="2"/>
      </rPr>
      <t>(1,2)</t>
    </r>
    <r>
      <rPr>
        <sz val="10"/>
        <color theme="1"/>
        <rFont val="Calibri"/>
        <family val="2"/>
      </rPr>
      <t>.</t>
    </r>
  </si>
  <si>
    <t xml:space="preserve">Adjunte protocolo. </t>
  </si>
  <si>
    <r>
      <t>Protocolo local vigente para el rescate de inasistentes/personas que abandonan el programa, personas que no logran control o que no adhieren/parcialmente adherentes a tratamiento farmacológico y no farmacológico</t>
    </r>
    <r>
      <rPr>
        <sz val="10"/>
        <color theme="1"/>
        <rFont val="Calibri"/>
        <family val="2"/>
      </rPr>
      <t xml:space="preserve"> </t>
    </r>
    <r>
      <rPr>
        <b/>
        <sz val="10"/>
        <color theme="1"/>
        <rFont val="Calibri"/>
        <family val="2"/>
      </rPr>
      <t>(1,8)</t>
    </r>
    <r>
      <rPr>
        <sz val="10"/>
        <color theme="1"/>
        <rFont val="Calibri"/>
        <family val="2"/>
      </rPr>
      <t>.</t>
    </r>
  </si>
  <si>
    <t>Adjunte protocolo y registro de mecanismos de rescate (telefónico, visita en domicilio, mensajería de texto, correo electrónico, derivación desde Farmacia o SOME, etc).</t>
  </si>
  <si>
    <t>Los profesionales que realizan atención en el contexto del programa de salud respiratoria, aplican protocolo vigente para la identificación,  registro y abordaje de reacciones adversas a medicamentos  (RAM) (1,9,10).</t>
  </si>
  <si>
    <t>Adjunte protocolo local y registro de eventos en los últimos 12 meses.</t>
  </si>
  <si>
    <t xml:space="preserve">El establecimiento resguarda la seguridad de la atención en la aplicación de kinesioterapia respiratoria (6). </t>
  </si>
  <si>
    <t>En relación a la característica APK1.2 del manual de estándar de Atención Abierta, adjunte documento elaborado por la unidad de kinesiología, que incorpora: requisitos de preparación del paciente previo a la ejecución del procedimiento, indicador con umbral de cumplimiento y constancia de evaluación periódica.</t>
  </si>
  <si>
    <t>Manual de inducción elaborado y validado por el equipo de salud respiratorio local para referentes y profesionales que se incorporan al equipo (incluye protocolos vigentes, registros clínicos, documentos técnicos, etc.) (1).</t>
  </si>
  <si>
    <t xml:space="preserve">Adjunte manual, registro de inducción y entrega del material.  </t>
  </si>
  <si>
    <t>PLANIFICACIÓN</t>
  </si>
  <si>
    <r>
      <t>El establecimiento programa y evalúa actividades propuestas para el año en curso (1,2)</t>
    </r>
    <r>
      <rPr>
        <sz val="10"/>
        <color theme="1"/>
        <rFont val="Calibri"/>
        <family val="2"/>
      </rPr>
      <t>.</t>
    </r>
  </si>
  <si>
    <t>Adjunte verificador (evaluación de la programación).</t>
  </si>
  <si>
    <t>El establecimiento incorpora en el programa anual de capacitación, temáticas conducentes a fortalecer las competencias técnicas del equipo que atiende a personas con condiciones de salud respiratoria (ERA/RHP/interpretación de radiografía de tórax/exámenes funcionales, consejería antitabaco, etc) (1,2).</t>
  </si>
  <si>
    <t xml:space="preserve">Adjunte programa, e individualice cursos. </t>
  </si>
  <si>
    <t>El establecimiento dispone de programa de capacitación con nivel secundario/hospital referente para profesionales del programa ERA de APS, organizado por los SS y SEREMI (1).</t>
  </si>
  <si>
    <t>Adjunte verificador (programa y asistentes).</t>
  </si>
  <si>
    <t xml:space="preserve">Planifica y ejecuta reuniones en los últimos 12 meses para difundir, coordinar y retroalimentar respecto de documentos técnicos, indicadores críticos del programa y diferentes aspectos del proceso de atención de las personas con condiciones de SR, en el establecimiento y con otros niveles de atención (equipo ERA) (1). </t>
  </si>
  <si>
    <t xml:space="preserve">Adjunte actas. Si realiza coordinación con SS, registre en observaciones. </t>
  </si>
  <si>
    <t>El establecimiento realiza auditorías clínicas y retroalimentación al equipo ERA (*).</t>
  </si>
  <si>
    <t>Auditoría clinica según estandarización de actividades clínicas del programa ERA, disponible en Manual Operativo Programas de Salud Respiratoria. Adjunte verificador (auditoria con firma del funcionario y plan de mejora).</t>
  </si>
  <si>
    <t>El establecimiento dispone de un plan de acción destinado a reducir las hospitalizaciones por condiciones sensibles al cuidado ambulatorio en el ámbito de salud respiratoria, de la población bajo control por asma y EPOC (1,11,12).</t>
  </si>
  <si>
    <t>Documento desarrollado localmente o a nivel de entidad administradora de salud, considerando epidemiología local.</t>
  </si>
  <si>
    <t>PREVENCIÓN</t>
  </si>
  <si>
    <t>Los profesionales de la sala ERA realizan consejería antitabáquica (13).</t>
  </si>
  <si>
    <t>El establecimiento dispone de intervenciones individuales para la prescripción de actividad física (14).</t>
  </si>
  <si>
    <t>Describa alternativas para la prescripción de actividad física (ej:  salas IRA/ERA, abordaje integral con otros programas (PSCV-SM u otro), horas en agenda destinadas para esta intervención, u otra actividad).</t>
  </si>
  <si>
    <t>El establecimiento dispone de información de la cobertura de vacunación en población bajo control ERA (1,13,15,16).</t>
  </si>
  <si>
    <t>Adjunte cobertura por tipo de vacuna (Influenza, COVID-19, pneumo23) y grupos etarios (20 a 64 años y 65 años en adelante).</t>
  </si>
  <si>
    <t>El establecimiento realiza investigación de CPT en PBC de sala ERA, al ingreso y luego cada 6 meses o cada vez que se intensifiquen los síntomas respiratorios (17).</t>
  </si>
  <si>
    <t xml:space="preserve">Adjunte registro local del porcentaje de exámenes realizados en PBC de la Sala ERA y/o protocolo local basado en Norma Técnica para el Control y Eliminación de la Tuberculosis (año 2022, Art. 137). </t>
  </si>
  <si>
    <t>SEGUIMIENTO</t>
  </si>
  <si>
    <t>El establecimiento caracteriza y gestiona sus usuarios poli consultantes en SAPU/SAR/SUR o UEH (1,18).</t>
  </si>
  <si>
    <t>Informe semestral (últimos seis meses, debe incluir porcentaje de derivación de pacientes con ASMA y EPOC desde los servicios de urgencia APS y hospitalarios hacia establecimientos de atención primaria) y plan de trabajo en base al perfil de usuarios inscritos poli consultantes.
Nota: el término “poli consultante” hace referencia a aquellas personas que consultan un n° determinado de veces al año en SU según definición vigente descrita en el documento “Instrumento para la evaluación y certificación del desarrollo del MAIS en establecimientos de APS” (antecedente 2020: superior a 7 veces).</t>
  </si>
  <si>
    <r>
      <t>El establecimiento realiza visita domiciliaria de seguimiento a personas de los programas de oxigenoterapia ambulatoria, AVNI, AVI, AVNIA, AVIA (1,2)</t>
    </r>
    <r>
      <rPr>
        <sz val="10"/>
        <color theme="1"/>
        <rFont val="Calibri"/>
        <family val="2"/>
      </rPr>
      <t>.</t>
    </r>
  </si>
  <si>
    <r>
      <t xml:space="preserve">Evalúe dos fichas y corrobore visita efectiva en el último año calendario disponible. 
</t>
    </r>
    <r>
      <rPr>
        <b/>
        <sz val="10"/>
        <color theme="1"/>
        <rFont val="Calibri"/>
        <family val="2"/>
      </rPr>
      <t>Nota</t>
    </r>
    <r>
      <rPr>
        <sz val="10"/>
        <color theme="1"/>
        <rFont val="Calibri"/>
        <family val="2"/>
      </rPr>
      <t xml:space="preserve">: si el establecimiento no tiene población bajo control en programas de oxigenoterapia y/o de asistencia ventilatoria invasiva o no invasiva, registre "N/A" (no aplica). </t>
    </r>
  </si>
  <si>
    <t>El total de auditorías ejecutadas por defunción por neumonía ocurrida en domicilio se registra en plataforma ADENED (19).</t>
  </si>
  <si>
    <r>
      <t xml:space="preserve">Realice el siguiente cálculo y registre "1" si el porcentaje de cumplimiento es 100%, de lo contrario, registre "0".
</t>
    </r>
    <r>
      <rPr>
        <b/>
        <sz val="10"/>
        <color theme="1"/>
        <rFont val="Calibri"/>
        <family val="2"/>
      </rPr>
      <t>Numerador:</t>
    </r>
    <r>
      <rPr>
        <sz val="10"/>
        <color theme="1"/>
        <rFont val="Calibri"/>
        <family val="2"/>
      </rPr>
      <t xml:space="preserve"> 
N° de auditorías ejecutadas de defunciones por neumonía ocurridas en domicilio (según norma vigente) en los últimos 12 meses previos a la visita.
</t>
    </r>
    <r>
      <rPr>
        <b/>
        <sz val="10"/>
        <color theme="1"/>
        <rFont val="Calibri"/>
        <family val="2"/>
      </rPr>
      <t>Denominador:</t>
    </r>
    <r>
      <rPr>
        <sz val="10"/>
        <color theme="1"/>
        <rFont val="Calibri"/>
        <family val="2"/>
      </rPr>
      <t xml:space="preserve"> 
N° de auditorías asignadas cargadas en plataforma ADENED, en los últimos 12 meses previos a la visita. 
</t>
    </r>
    <r>
      <rPr>
        <b/>
        <sz val="10"/>
        <color theme="1"/>
        <rFont val="Calibri"/>
        <family val="2"/>
      </rPr>
      <t>Amplificador:</t>
    </r>
    <r>
      <rPr>
        <sz val="10"/>
        <color theme="1"/>
        <rFont val="Calibri"/>
        <family val="2"/>
      </rPr>
      <t xml:space="preserve"> 
100 (expresado en porcentaje).
</t>
    </r>
    <r>
      <rPr>
        <b/>
        <sz val="10"/>
        <color theme="1"/>
        <rFont val="Calibri"/>
        <family val="2"/>
      </rPr>
      <t xml:space="preserve">Fuente de información:
</t>
    </r>
    <r>
      <rPr>
        <sz val="10"/>
        <color theme="1"/>
        <rFont val="Calibri"/>
        <family val="2"/>
      </rPr>
      <t xml:space="preserve">Numerador: REM A23, sección M “Visitas Domiciliarias ejecutadas por equipo IRA-ERA a Familias -Por Muerte de Neumonía en Domicilio-”.
Denominador: Total de casos cargados en plataforma ADENED.   
Nota: si el establecimiento no presenta auditorías asignadas en plataforma ADENED, en los últimos 12 meses, registre "N/A" (no aplica). </t>
    </r>
  </si>
  <si>
    <t xml:space="preserve">Si el establecimiento no ha recibido auditorías, registre "N/A" (no aplica). 
</t>
  </si>
  <si>
    <t>PROGRAMA DE SALUD RESPIRATORIA</t>
  </si>
  <si>
    <t>Dimensiones</t>
  </si>
  <si>
    <t>Puntaje esperado</t>
  </si>
  <si>
    <t>Puntaje obtenido</t>
  </si>
  <si>
    <t xml:space="preserve">Porcentaje de logro </t>
  </si>
  <si>
    <t>Nivel de logro</t>
  </si>
  <si>
    <t>Estructura</t>
  </si>
  <si>
    <t>Procesos</t>
  </si>
  <si>
    <t>Compromisos, plan de trabajo:</t>
  </si>
  <si>
    <t>N/A</t>
  </si>
  <si>
    <r>
      <t xml:space="preserve">Registre horas asignadas para la atención regular* de personas con condiciones de salud respiratoria de cada uno de los profesionales (médico(a), kinesiólogo(a) y/o enfermero(a)).
*Excluye contrataciones realizadas en el contexto de la campaña de invierno. 
</t>
    </r>
    <r>
      <rPr>
        <b/>
        <sz val="10"/>
        <color theme="1"/>
        <rFont val="Calibri"/>
        <family val="2"/>
      </rPr>
      <t xml:space="preserve">Registre 1: </t>
    </r>
    <r>
      <rPr>
        <sz val="10"/>
        <color theme="1"/>
        <rFont val="Calibri"/>
        <family val="2"/>
      </rPr>
      <t xml:space="preserve">El establecimiento cuenta con horas médicas y horas de profesional no médico (describa la dotación en columnas correspondientes).
</t>
    </r>
    <r>
      <rPr>
        <b/>
        <sz val="10"/>
        <color theme="1"/>
        <rFont val="Calibri"/>
        <family val="2"/>
      </rPr>
      <t>Registre 0:</t>
    </r>
    <r>
      <rPr>
        <sz val="10"/>
        <color theme="1"/>
        <rFont val="Calibri"/>
        <family val="2"/>
      </rPr>
      <t xml:space="preserve"> no cumple.</t>
    </r>
  </si>
  <si>
    <r>
      <rPr>
        <sz val="10"/>
        <color rgb="FF000000"/>
        <rFont val="Calibri"/>
        <family val="2"/>
      </rPr>
      <t>Solicite resolución vig</t>
    </r>
    <r>
      <rPr>
        <sz val="10"/>
        <rFont val="Calibri"/>
        <family val="2"/>
      </rPr>
      <t>ente y compare listado</t>
    </r>
    <r>
      <rPr>
        <sz val="10"/>
        <color rgb="FF000000"/>
        <rFont val="Calibri"/>
        <family val="2"/>
      </rPr>
      <t xml:space="preserve"> con fármacos e insumos disponibles en el establecimiento. Registre 1 si cuenta con todo el arsenal. 
Adicionalmente, solicite informes de quiebres de stock y entregas fuera de plazo (si es que los hubiera).</t>
    </r>
  </si>
  <si>
    <t xml:space="preserve">Este indicador debe ser calculado por referente de SS y SEREMI, y presentar resultado por SS y por región, respectivamente. Considerar que los datos de hospitalización disponibles corresponden al año anterior a la evaluación. Para determinar los egresos hospitalarios en las regiones que tienen más de un SS, se debe sumar el número de egresos hospitalarios de los SS que corresponden a la región evaluada, como numerador, y dejar como denominador la población beneficiaria FONASA del total de los SS. </t>
  </si>
  <si>
    <r>
      <rPr>
        <b/>
        <sz val="10"/>
        <color theme="1"/>
        <rFont val="Calibri"/>
        <family val="2"/>
      </rPr>
      <t>Numerador</t>
    </r>
    <r>
      <rPr>
        <sz val="10"/>
        <color theme="1"/>
        <rFont val="Calibri"/>
        <family val="2"/>
      </rPr>
      <t xml:space="preserve">: 
Número de egresos hospitalarios por Bronquitis crónica simple y mucopurulenta + Bronquitis crónica no especificada + Enfisema + Otras enfermedades pulmonares obstructivas crónicas + Bronquiectasia en el año X (último año calendario completo disponible).
</t>
    </r>
    <r>
      <rPr>
        <b/>
        <sz val="10"/>
        <color theme="1"/>
        <rFont val="Calibri"/>
        <family val="2"/>
      </rPr>
      <t xml:space="preserve">Denominador: </t>
    </r>
    <r>
      <rPr>
        <sz val="10"/>
        <color theme="1"/>
        <rFont val="Calibri"/>
        <family val="2"/>
      </rPr>
      <t xml:space="preserve">
Población beneficiaria de 20 años y más en FONASA para el año X.  
</t>
    </r>
    <r>
      <rPr>
        <b/>
        <sz val="10"/>
        <color theme="1"/>
        <rFont val="Calibri"/>
        <family val="2"/>
      </rPr>
      <t>Amplificador:</t>
    </r>
    <r>
      <rPr>
        <sz val="10"/>
        <color theme="1"/>
        <rFont val="Calibri"/>
        <family val="2"/>
      </rPr>
      <t xml:space="preserve"> 
10.000 (tasa). 
</t>
    </r>
    <r>
      <rPr>
        <b/>
        <sz val="10"/>
        <color theme="1"/>
        <rFont val="Calibri"/>
        <family val="2"/>
      </rPr>
      <t xml:space="preserve">Fuente: </t>
    </r>
    <r>
      <rPr>
        <sz val="10"/>
        <color theme="1"/>
        <rFont val="Calibri"/>
        <family val="2"/>
      </rPr>
      <t xml:space="preserve">
Numerador: Tablero Egresos Hospitalarios DEIS
</t>
    </r>
    <r>
      <rPr>
        <u/>
        <sz val="10"/>
        <color theme="1"/>
        <rFont val="Calibri"/>
        <family val="2"/>
      </rPr>
      <t>(Disponible en: https://informesdeis.minsal.cl/SASVisualAnalytics/?reportUri=%2Freports%2Freports%2F23138671-c0be-479a-8e9d-52850e584251&amp;sectionIndex=0&amp;sso_guest=true&amp;reportViewOnly=true&amp;reportContextBar=false&amp;sas-welcome=false).</t>
    </r>
    <r>
      <rPr>
        <sz val="10"/>
        <color theme="1"/>
        <rFont val="Calibri"/>
        <family val="2"/>
      </rPr>
      <t xml:space="preserve">
Denominador: Población beneficiaria FONASA. (Disponible en: </t>
    </r>
    <r>
      <rPr>
        <u/>
        <sz val="10"/>
        <color theme="1"/>
        <rFont val="Calibri"/>
        <family val="2"/>
      </rPr>
      <t>https://public.tableau.com/views/Beneficiarios_16704273822880/Reporte??:showVizHome=no)</t>
    </r>
    <r>
      <rPr>
        <sz val="10"/>
        <color theme="1"/>
        <rFont val="Calibri"/>
        <family val="2"/>
      </rPr>
      <t xml:space="preserve"> o bien datos otorgados por FONASA al SS).
*Nota: Dato de la población FONASA estimada para el año a evaluar. </t>
    </r>
  </si>
  <si>
    <r>
      <rPr>
        <b/>
        <sz val="10"/>
        <color theme="1"/>
        <rFont val="Calibri"/>
        <family val="2"/>
      </rPr>
      <t>Numerador</t>
    </r>
    <r>
      <rPr>
        <sz val="10"/>
        <color theme="1"/>
        <rFont val="Calibri"/>
        <family val="2"/>
      </rPr>
      <t xml:space="preserve">: 
Número de egresos hospitalarios por asma y estado asmático en el año X (último año calendario completo disponible).
</t>
    </r>
    <r>
      <rPr>
        <b/>
        <sz val="10"/>
        <color theme="1"/>
        <rFont val="Calibri"/>
        <family val="2"/>
      </rPr>
      <t xml:space="preserve">Denominador: </t>
    </r>
    <r>
      <rPr>
        <sz val="10"/>
        <color theme="1"/>
        <rFont val="Calibri"/>
        <family val="2"/>
      </rPr>
      <t xml:space="preserve">
Población beneficiaria de 20 años y más en FONASA para el año X.  
</t>
    </r>
    <r>
      <rPr>
        <b/>
        <sz val="10"/>
        <color theme="1"/>
        <rFont val="Calibri"/>
        <family val="2"/>
      </rPr>
      <t>Amplificador:</t>
    </r>
    <r>
      <rPr>
        <sz val="10"/>
        <color theme="1"/>
        <rFont val="Calibri"/>
        <family val="2"/>
      </rPr>
      <t xml:space="preserve"> 
10.000 (tasa). 
</t>
    </r>
    <r>
      <rPr>
        <b/>
        <sz val="10"/>
        <color theme="1"/>
        <rFont val="Calibri"/>
        <family val="2"/>
      </rPr>
      <t xml:space="preserve">Fuente: </t>
    </r>
    <r>
      <rPr>
        <sz val="10"/>
        <color theme="1"/>
        <rFont val="Calibri"/>
        <family val="2"/>
      </rPr>
      <t xml:space="preserve">
Numerador: Tablero Egresos Hospitalarios DEIS
(Disponible en: </t>
    </r>
    <r>
      <rPr>
        <u/>
        <sz val="10"/>
        <color theme="1"/>
        <rFont val="Calibri"/>
        <family val="2"/>
      </rPr>
      <t xml:space="preserve">https://informesdeis.minsal.cl/SASVisualAnalytics/?reportUri=%2Freports%2Freports%2F23138671-c0be-479a-8e9d-52850e584251&amp;sectionIndex=0&amp;sso_guest=true&amp;reportViewOnly=true&amp;reportContextBar=false&amp;sas-welcome=false)
</t>
    </r>
    <r>
      <rPr>
        <sz val="10"/>
        <color theme="1"/>
        <rFont val="Calibri"/>
        <family val="2"/>
      </rPr>
      <t xml:space="preserve">
Denominador: Población beneficiaria FONASA. (Disponible en: </t>
    </r>
    <r>
      <rPr>
        <u/>
        <sz val="10"/>
        <color theme="1"/>
        <rFont val="Calibri"/>
        <family val="2"/>
      </rPr>
      <t xml:space="preserve">https://public.tableau.com/views/Beneficiarios_16704273822880/Reporte??:showVizHome=no)
</t>
    </r>
    <r>
      <rPr>
        <sz val="10"/>
        <color theme="1"/>
        <rFont val="Calibri"/>
        <family val="2"/>
      </rPr>
      <t xml:space="preserve">*Nota: Dato de la población FONASA estimada para el año a evaluar. </t>
    </r>
  </si>
  <si>
    <r>
      <t xml:space="preserve">Numerador:
</t>
    </r>
    <r>
      <rPr>
        <sz val="10"/>
        <color theme="1"/>
        <rFont val="Calibri"/>
        <family val="2"/>
      </rPr>
      <t>Número de personas bajo control en programas de salud respiratoria de Atención Primaria por diagnóstico de asma en personas ≥ a 20 años, que logra nivel “controlado”*, según última serie REM-P disponible.</t>
    </r>
    <r>
      <rPr>
        <b/>
        <sz val="10"/>
        <color theme="1"/>
        <rFont val="Calibri"/>
        <family val="2"/>
      </rPr>
      <t xml:space="preserve">
Denominador:
</t>
    </r>
    <r>
      <rPr>
        <sz val="10"/>
        <color theme="1"/>
        <rFont val="Calibri"/>
        <family val="2"/>
      </rPr>
      <t>Total de personas con asma ≥ a 20 años, estimadas según prevalencia**, en población inscrita y validada (PIV) del año en curso.</t>
    </r>
    <r>
      <rPr>
        <b/>
        <sz val="10"/>
        <color theme="1"/>
        <rFont val="Calibri"/>
        <family val="2"/>
      </rPr>
      <t xml:space="preserve">
Amplificador: 
</t>
    </r>
    <r>
      <rPr>
        <sz val="10"/>
        <color theme="1"/>
        <rFont val="Calibri"/>
        <family val="2"/>
      </rPr>
      <t xml:space="preserve">100 (porcentaje).
*Según definición vigente en manual REM.
**Prevalencia: Según OT Meta Sanitaria Vigente (2024: ASMA 10%).
</t>
    </r>
    <r>
      <rPr>
        <b/>
        <sz val="10"/>
        <color theme="1"/>
        <rFont val="Calibri"/>
        <family val="2"/>
      </rPr>
      <t xml:space="preserve">
Fuente de información:
</t>
    </r>
    <r>
      <rPr>
        <sz val="10"/>
        <color theme="1"/>
        <rFont val="Calibri"/>
        <family val="2"/>
      </rPr>
      <t>Numerador: REM P3, sección D.
Denominador: Registro de PIV.</t>
    </r>
  </si>
</sst>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2"/>
      <color theme="1"/>
      <name val="Times New Roman"/>
      <family val="1"/>
    </font>
    <font>
      <b/>
      <sz val="12"/>
      <color rgb="FF000000"/>
      <name val="Calibri"/>
      <family val="2"/>
    </font>
    <font>
      <b/>
      <sz val="10"/>
      <color theme="1"/>
      <name val="Calibri"/>
      <family val="2"/>
    </font>
    <font>
      <b/>
      <sz val="10"/>
      <color rgb="FF000000"/>
      <name val="Calibri"/>
      <family val="2"/>
    </font>
    <font>
      <sz val="10"/>
      <color theme="1"/>
      <name val="Calibri"/>
      <family val="2"/>
    </font>
    <font>
      <sz val="10"/>
      <color rgb="FF000000"/>
      <name val="Calibri"/>
      <family val="2"/>
    </font>
    <font>
      <b/>
      <sz val="14"/>
      <color rgb="FF000000"/>
      <name val="Calibri"/>
      <family val="2"/>
    </font>
    <font>
      <sz val="11"/>
      <color theme="1"/>
      <name val="Calibri"/>
      <family val="2"/>
      <scheme val="minor"/>
    </font>
    <font>
      <b/>
      <sz val="11"/>
      <color theme="1"/>
      <name val="Calibri"/>
      <family val="2"/>
      <scheme val="minor"/>
    </font>
    <font>
      <sz val="12"/>
      <color theme="1"/>
      <name val="Calibri"/>
      <family val="2"/>
      <scheme val="minor"/>
    </font>
    <font>
      <sz val="14"/>
      <color theme="1"/>
      <name val="Calibri"/>
      <family val="2"/>
      <scheme val="minor"/>
    </font>
    <font>
      <sz val="10"/>
      <color rgb="FFFF0000"/>
      <name val="Calibri"/>
      <family val="2"/>
    </font>
    <font>
      <sz val="12"/>
      <color theme="1"/>
      <name val="Calibri"/>
      <family val="2"/>
    </font>
    <font>
      <sz val="11"/>
      <color theme="1"/>
      <name val="Calibri"/>
      <family val="2"/>
    </font>
    <font>
      <u/>
      <sz val="10"/>
      <color theme="1"/>
      <name val="Calibri"/>
      <family val="2"/>
    </font>
    <font>
      <b/>
      <u/>
      <sz val="11"/>
      <color theme="1"/>
      <name val="Calibri"/>
      <family val="2"/>
    </font>
    <font>
      <sz val="10"/>
      <name val="Calibri"/>
      <family val="2"/>
    </font>
  </fonts>
  <fills count="11">
    <fill>
      <patternFill patternType="none"/>
    </fill>
    <fill>
      <patternFill patternType="gray125"/>
    </fill>
    <fill>
      <patternFill patternType="solid">
        <fgColor rgb="FF9CC2E5"/>
        <bgColor indexed="64"/>
      </patternFill>
    </fill>
    <fill>
      <patternFill patternType="solid">
        <fgColor rgb="FFBDD6EE"/>
        <bgColor indexed="64"/>
      </patternFill>
    </fill>
    <fill>
      <patternFill patternType="solid">
        <fgColor theme="7" tint="0.39997558519241921"/>
        <bgColor indexed="64"/>
      </patternFill>
    </fill>
    <fill>
      <patternFill patternType="solid">
        <fgColor theme="7" tint="0.59999389629810485"/>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0"/>
        <bgColor indexed="64"/>
      </patternFill>
    </fill>
    <fill>
      <patternFill patternType="solid">
        <fgColor rgb="FFFFFF00"/>
        <bgColor indexed="64"/>
      </patternFill>
    </fill>
  </fills>
  <borders count="1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s>
  <cellStyleXfs count="2">
    <xf numFmtId="0" fontId="0" fillId="0" borderId="0"/>
    <xf numFmtId="9" fontId="8" fillId="0" borderId="0" applyFont="0" applyFill="0" applyBorder="0" applyAlignment="0" applyProtection="0"/>
  </cellStyleXfs>
  <cellXfs count="139">
    <xf numFmtId="0" fontId="0" fillId="0" borderId="0" xfId="0"/>
    <xf numFmtId="0" fontId="3" fillId="0" borderId="0" xfId="0" applyFont="1" applyAlignment="1">
      <alignment vertical="center"/>
    </xf>
    <xf numFmtId="0" fontId="1" fillId="0" borderId="0" xfId="0" applyFont="1" applyAlignment="1">
      <alignment vertical="top"/>
    </xf>
    <xf numFmtId="0" fontId="1" fillId="0" borderId="7" xfId="0" applyFont="1" applyBorder="1" applyAlignment="1">
      <alignment vertical="top"/>
    </xf>
    <xf numFmtId="0" fontId="4" fillId="3" borderId="8" xfId="0" applyFont="1" applyFill="1" applyBorder="1" applyAlignment="1">
      <alignment horizontal="center" vertical="center"/>
    </xf>
    <xf numFmtId="0" fontId="3" fillId="0" borderId="9" xfId="0" applyFont="1" applyBorder="1" applyAlignment="1">
      <alignment vertical="center" wrapText="1"/>
    </xf>
    <xf numFmtId="0" fontId="5" fillId="0" borderId="0" xfId="0" applyFont="1" applyAlignment="1">
      <alignment vertical="center" wrapText="1"/>
    </xf>
    <xf numFmtId="0" fontId="3" fillId="0" borderId="8" xfId="0" applyFont="1" applyBorder="1" applyAlignment="1">
      <alignment horizontal="justify" vertical="center" wrapText="1"/>
    </xf>
    <xf numFmtId="0" fontId="1" fillId="0" borderId="0" xfId="0" applyFont="1" applyAlignment="1">
      <alignment vertical="top" wrapText="1"/>
    </xf>
    <xf numFmtId="0" fontId="3" fillId="0" borderId="5" xfId="0" applyFont="1" applyBorder="1" applyAlignment="1">
      <alignment vertical="center"/>
    </xf>
    <xf numFmtId="0" fontId="5" fillId="0" borderId="7" xfId="0" applyFont="1" applyBorder="1" applyAlignment="1">
      <alignment vertical="center"/>
    </xf>
    <xf numFmtId="0" fontId="5" fillId="0" borderId="7" xfId="0" applyFont="1" applyBorder="1" applyAlignment="1">
      <alignment horizontal="justify" vertical="center"/>
    </xf>
    <xf numFmtId="0" fontId="5" fillId="0" borderId="7" xfId="0" applyFont="1" applyBorder="1" applyAlignment="1">
      <alignment horizontal="justify" vertical="center" wrapText="1"/>
    </xf>
    <xf numFmtId="0" fontId="5" fillId="0" borderId="0" xfId="0" applyFont="1" applyAlignment="1">
      <alignment vertical="center"/>
    </xf>
    <xf numFmtId="0" fontId="5" fillId="0" borderId="8" xfId="0" applyFont="1" applyBorder="1" applyAlignment="1">
      <alignment horizontal="center" vertical="center" wrapText="1"/>
    </xf>
    <xf numFmtId="0" fontId="5" fillId="0" borderId="13" xfId="0" applyFont="1" applyBorder="1" applyAlignment="1">
      <alignment vertical="center" wrapText="1"/>
    </xf>
    <xf numFmtId="0" fontId="3" fillId="0" borderId="4" xfId="0" applyFont="1" applyBorder="1" applyAlignment="1">
      <alignment vertical="center" wrapText="1"/>
    </xf>
    <xf numFmtId="0" fontId="5" fillId="0" borderId="4" xfId="0" applyFont="1" applyBorder="1" applyAlignment="1">
      <alignment vertical="center" wrapText="1"/>
    </xf>
    <xf numFmtId="0" fontId="3" fillId="0" borderId="11" xfId="0" applyFont="1" applyBorder="1" applyAlignment="1">
      <alignment vertical="center" wrapText="1"/>
    </xf>
    <xf numFmtId="0" fontId="3" fillId="0" borderId="1" xfId="0" applyFont="1" applyBorder="1" applyAlignment="1">
      <alignment vertical="center" wrapText="1"/>
    </xf>
    <xf numFmtId="0" fontId="5" fillId="0" borderId="4" xfId="0" applyFont="1" applyBorder="1" applyAlignment="1">
      <alignment horizontal="justify" vertical="center" wrapText="1"/>
    </xf>
    <xf numFmtId="0" fontId="5" fillId="0" borderId="1" xfId="0" applyFont="1" applyBorder="1" applyAlignment="1">
      <alignment horizontal="justify" vertical="center" wrapText="1"/>
    </xf>
    <xf numFmtId="0" fontId="5" fillId="0" borderId="1" xfId="0" applyFont="1" applyBorder="1" applyAlignment="1">
      <alignment vertical="top" wrapText="1"/>
    </xf>
    <xf numFmtId="0" fontId="5" fillId="0" borderId="1" xfId="0" applyFont="1" applyBorder="1" applyAlignment="1">
      <alignment horizontal="left" vertical="top" wrapText="1"/>
    </xf>
    <xf numFmtId="0" fontId="5" fillId="0" borderId="10" xfId="0" applyFont="1" applyBorder="1" applyAlignment="1">
      <alignment horizontal="left" vertical="top" wrapText="1"/>
    </xf>
    <xf numFmtId="0" fontId="3" fillId="0" borderId="11" xfId="0" applyFont="1" applyBorder="1" applyAlignment="1">
      <alignment vertical="center"/>
    </xf>
    <xf numFmtId="0" fontId="3" fillId="0" borderId="1" xfId="0" applyFont="1" applyBorder="1" applyAlignment="1">
      <alignment vertical="center"/>
    </xf>
    <xf numFmtId="0" fontId="5" fillId="0" borderId="8" xfId="0" applyFont="1" applyBorder="1" applyAlignment="1">
      <alignment horizontal="justify" vertical="top"/>
    </xf>
    <xf numFmtId="0" fontId="5" fillId="0" borderId="8" xfId="0" applyFont="1" applyBorder="1" applyAlignment="1">
      <alignment horizontal="justify" vertical="top" wrapText="1"/>
    </xf>
    <xf numFmtId="0" fontId="3" fillId="0" borderId="13" xfId="0" applyFont="1" applyBorder="1" applyAlignment="1">
      <alignment vertical="center"/>
    </xf>
    <xf numFmtId="0" fontId="5" fillId="0" borderId="13" xfId="0" applyFont="1" applyBorder="1" applyAlignment="1">
      <alignment vertical="center"/>
    </xf>
    <xf numFmtId="0" fontId="5" fillId="0" borderId="11" xfId="0" applyFont="1" applyBorder="1" applyAlignment="1">
      <alignment vertical="top"/>
    </xf>
    <xf numFmtId="0" fontId="5" fillId="0" borderId="1" xfId="0" applyFont="1" applyBorder="1" applyAlignment="1">
      <alignment vertical="top"/>
    </xf>
    <xf numFmtId="0" fontId="5" fillId="0" borderId="11" xfId="0" applyFont="1" applyBorder="1" applyAlignment="1">
      <alignment vertical="top" wrapText="1"/>
    </xf>
    <xf numFmtId="0" fontId="5" fillId="0" borderId="4" xfId="0" applyFont="1" applyBorder="1" applyAlignment="1">
      <alignment vertical="top" wrapText="1"/>
    </xf>
    <xf numFmtId="0" fontId="5" fillId="0" borderId="8" xfId="0" applyFont="1" applyBorder="1" applyAlignment="1">
      <alignment vertical="top" wrapText="1"/>
    </xf>
    <xf numFmtId="0" fontId="5" fillId="0" borderId="4" xfId="0" applyFont="1" applyBorder="1" applyAlignment="1">
      <alignment horizontal="center" vertical="center" wrapText="1"/>
    </xf>
    <xf numFmtId="9" fontId="5" fillId="0" borderId="4" xfId="1" applyFont="1" applyBorder="1" applyAlignment="1">
      <alignment horizontal="center" vertical="center" wrapText="1"/>
    </xf>
    <xf numFmtId="0" fontId="4" fillId="5" borderId="8" xfId="0" applyFont="1" applyFill="1" applyBorder="1" applyAlignment="1">
      <alignment horizontal="center" vertical="center"/>
    </xf>
    <xf numFmtId="0" fontId="4" fillId="7" borderId="8" xfId="0" applyFont="1" applyFill="1" applyBorder="1" applyAlignment="1">
      <alignment horizontal="center" vertical="center"/>
    </xf>
    <xf numFmtId="0" fontId="0" fillId="0" borderId="0" xfId="0" applyAlignment="1">
      <alignment horizontal="left" vertical="top" wrapText="1"/>
    </xf>
    <xf numFmtId="0" fontId="9" fillId="0" borderId="0" xfId="0" applyFont="1"/>
    <xf numFmtId="0" fontId="0" fillId="0" borderId="0" xfId="0" applyAlignment="1">
      <alignment vertical="top" wrapText="1"/>
    </xf>
    <xf numFmtId="0" fontId="13" fillId="0" borderId="0" xfId="0" applyFont="1" applyAlignment="1">
      <alignment horizontal="left" vertical="top"/>
    </xf>
    <xf numFmtId="0" fontId="0" fillId="8" borderId="0" xfId="0" applyFill="1" applyAlignment="1">
      <alignment horizontal="center" vertical="center"/>
    </xf>
    <xf numFmtId="0" fontId="0" fillId="0" borderId="0" xfId="0" applyAlignment="1">
      <alignment horizontal="center" vertical="center"/>
    </xf>
    <xf numFmtId="0" fontId="4" fillId="0" borderId="4" xfId="0" applyFont="1" applyBorder="1" applyAlignment="1">
      <alignment vertical="center" wrapText="1"/>
    </xf>
    <xf numFmtId="0" fontId="3" fillId="9" borderId="11" xfId="0" applyFont="1" applyFill="1" applyBorder="1" applyAlignment="1">
      <alignment vertical="center"/>
    </xf>
    <xf numFmtId="0" fontId="5" fillId="0" borderId="14" xfId="0" applyFont="1" applyBorder="1" applyAlignment="1">
      <alignment horizontal="center" vertical="center" wrapText="1"/>
    </xf>
    <xf numFmtId="9" fontId="5" fillId="0" borderId="4" xfId="1" applyFont="1" applyBorder="1" applyAlignment="1">
      <alignment horizontal="left" vertical="top" wrapText="1"/>
    </xf>
    <xf numFmtId="0" fontId="0" fillId="10" borderId="0" xfId="0" applyFill="1" applyAlignment="1">
      <alignment horizontal="left" vertical="center"/>
    </xf>
    <xf numFmtId="1" fontId="5" fillId="0" borderId="4" xfId="1" applyNumberFormat="1" applyFont="1" applyBorder="1" applyAlignment="1">
      <alignment horizontal="center" vertical="center" wrapText="1"/>
    </xf>
    <xf numFmtId="0" fontId="5" fillId="0" borderId="4" xfId="0" applyFont="1" applyBorder="1" applyAlignment="1">
      <alignment horizontal="left" vertical="center" wrapText="1"/>
    </xf>
    <xf numFmtId="0" fontId="13" fillId="0" borderId="0" xfId="0" applyFont="1" applyAlignment="1">
      <alignment horizontal="left" vertical="top"/>
    </xf>
    <xf numFmtId="0" fontId="9" fillId="0" borderId="0" xfId="0" applyFont="1" applyAlignment="1">
      <alignment horizontal="center" vertical="center"/>
    </xf>
    <xf numFmtId="0" fontId="0" fillId="0" borderId="0" xfId="0" applyAlignment="1">
      <alignment horizontal="left" vertical="top" wrapText="1"/>
    </xf>
    <xf numFmtId="0" fontId="9" fillId="0" borderId="0" xfId="0" applyFont="1" applyAlignment="1">
      <alignment horizontal="center"/>
    </xf>
    <xf numFmtId="0" fontId="0" fillId="0" borderId="0" xfId="0" applyAlignment="1">
      <alignment horizontal="left" vertical="center"/>
    </xf>
    <xf numFmtId="0" fontId="4" fillId="5" borderId="2" xfId="0" applyFont="1" applyFill="1" applyBorder="1" applyAlignment="1">
      <alignment horizontal="center" vertical="center"/>
    </xf>
    <xf numFmtId="0" fontId="4" fillId="5" borderId="4" xfId="0" applyFont="1" applyFill="1" applyBorder="1" applyAlignment="1">
      <alignment horizontal="center" vertical="center"/>
    </xf>
    <xf numFmtId="0" fontId="4" fillId="5" borderId="6" xfId="0" applyFont="1" applyFill="1" applyBorder="1" applyAlignment="1">
      <alignment horizontal="center" vertical="center"/>
    </xf>
    <xf numFmtId="0" fontId="4" fillId="5" borderId="7" xfId="0" applyFont="1" applyFill="1" applyBorder="1" applyAlignment="1">
      <alignment horizontal="center" vertical="center"/>
    </xf>
    <xf numFmtId="0" fontId="4" fillId="5" borderId="8" xfId="0" applyFont="1" applyFill="1" applyBorder="1" applyAlignment="1">
      <alignment horizontal="center" vertical="center"/>
    </xf>
    <xf numFmtId="0" fontId="4" fillId="5" borderId="3" xfId="0" applyFont="1" applyFill="1" applyBorder="1" applyAlignment="1">
      <alignment horizontal="center" vertical="center"/>
    </xf>
    <xf numFmtId="0" fontId="5" fillId="0" borderId="2" xfId="0" applyFont="1" applyBorder="1" applyAlignment="1">
      <alignment vertical="center"/>
    </xf>
    <xf numFmtId="0" fontId="5" fillId="0" borderId="3" xfId="0" applyFont="1" applyBorder="1" applyAlignment="1">
      <alignment vertical="center"/>
    </xf>
    <xf numFmtId="0" fontId="5" fillId="0" borderId="4" xfId="0" applyFont="1" applyBorder="1" applyAlignment="1">
      <alignment vertical="center"/>
    </xf>
    <xf numFmtId="0" fontId="11" fillId="0" borderId="2" xfId="0" applyFont="1" applyBorder="1" applyAlignment="1">
      <alignment horizontal="center" vertical="center" wrapText="1"/>
    </xf>
    <xf numFmtId="0" fontId="11" fillId="0" borderId="3" xfId="0" applyFont="1" applyBorder="1" applyAlignment="1">
      <alignment horizontal="center" vertical="center" wrapText="1"/>
    </xf>
    <xf numFmtId="0" fontId="11" fillId="0" borderId="4" xfId="0" applyFont="1" applyBorder="1" applyAlignment="1">
      <alignment horizontal="center" vertical="center" wrapText="1"/>
    </xf>
    <xf numFmtId="0" fontId="5" fillId="0" borderId="2" xfId="0" applyFont="1" applyBorder="1" applyAlignment="1">
      <alignment horizontal="center" vertical="top"/>
    </xf>
    <xf numFmtId="0" fontId="5" fillId="0" borderId="3" xfId="0" applyFont="1" applyBorder="1" applyAlignment="1">
      <alignment horizontal="center" vertical="top"/>
    </xf>
    <xf numFmtId="0" fontId="5" fillId="0" borderId="4" xfId="0" applyFont="1" applyBorder="1" applyAlignment="1">
      <alignment horizontal="center" vertical="top"/>
    </xf>
    <xf numFmtId="0" fontId="4" fillId="7" borderId="2" xfId="0" applyFont="1" applyFill="1" applyBorder="1" applyAlignment="1">
      <alignment horizontal="center" vertical="center"/>
    </xf>
    <xf numFmtId="0" fontId="4" fillId="7" borderId="3" xfId="0" applyFont="1" applyFill="1" applyBorder="1" applyAlignment="1">
      <alignment horizontal="center" vertical="center"/>
    </xf>
    <xf numFmtId="0" fontId="4" fillId="7" borderId="4" xfId="0" applyFont="1" applyFill="1" applyBorder="1" applyAlignment="1">
      <alignment horizontal="center" vertical="center"/>
    </xf>
    <xf numFmtId="0" fontId="12" fillId="0" borderId="2" xfId="0" applyFont="1" applyBorder="1" applyAlignment="1">
      <alignment horizontal="left" vertical="top"/>
    </xf>
    <xf numFmtId="0" fontId="12" fillId="0" borderId="3" xfId="0" applyFont="1" applyBorder="1" applyAlignment="1">
      <alignment horizontal="left" vertical="top"/>
    </xf>
    <xf numFmtId="0" fontId="12" fillId="0" borderId="4" xfId="0" applyFont="1" applyBorder="1" applyAlignment="1">
      <alignment horizontal="left" vertical="top"/>
    </xf>
    <xf numFmtId="0" fontId="5" fillId="0" borderId="2" xfId="0" applyFont="1" applyBorder="1" applyAlignment="1">
      <alignment horizontal="center" vertical="top" wrapText="1"/>
    </xf>
    <xf numFmtId="0" fontId="5" fillId="0" borderId="3" xfId="0" applyFont="1" applyBorder="1" applyAlignment="1">
      <alignment horizontal="center" vertical="top" wrapText="1"/>
    </xf>
    <xf numFmtId="0" fontId="5" fillId="0" borderId="4" xfId="0" applyFont="1" applyBorder="1" applyAlignment="1">
      <alignment horizontal="center" vertical="top" wrapText="1"/>
    </xf>
    <xf numFmtId="0" fontId="12" fillId="0" borderId="2" xfId="0" applyFont="1" applyBorder="1" applyAlignment="1">
      <alignment horizontal="left" vertical="top" wrapText="1"/>
    </xf>
    <xf numFmtId="0" fontId="12" fillId="0" borderId="3" xfId="0" applyFont="1" applyBorder="1" applyAlignment="1">
      <alignment horizontal="left" vertical="top" wrapText="1"/>
    </xf>
    <xf numFmtId="0" fontId="12" fillId="0" borderId="4" xfId="0" applyFont="1" applyBorder="1" applyAlignment="1">
      <alignment horizontal="left" vertical="top" wrapText="1"/>
    </xf>
    <xf numFmtId="0" fontId="3" fillId="0" borderId="2" xfId="0" applyFont="1" applyBorder="1" applyAlignment="1">
      <alignment vertical="center"/>
    </xf>
    <xf numFmtId="0" fontId="3" fillId="0" borderId="3" xfId="0" applyFont="1" applyBorder="1" applyAlignment="1">
      <alignment vertical="center"/>
    </xf>
    <xf numFmtId="0" fontId="3" fillId="0" borderId="4" xfId="0" applyFont="1" applyBorder="1" applyAlignment="1">
      <alignment vertical="center"/>
    </xf>
    <xf numFmtId="0" fontId="1" fillId="0" borderId="3" xfId="0" applyFont="1" applyBorder="1" applyAlignment="1">
      <alignment vertical="top"/>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7" fillId="2" borderId="2" xfId="0" applyFont="1" applyFill="1" applyBorder="1" applyAlignment="1">
      <alignment horizontal="center" vertical="center"/>
    </xf>
    <xf numFmtId="0" fontId="7" fillId="2" borderId="3" xfId="0" applyFont="1" applyFill="1" applyBorder="1" applyAlignment="1">
      <alignment horizontal="center" vertical="center"/>
    </xf>
    <xf numFmtId="0" fontId="7" fillId="2" borderId="4" xfId="0" applyFont="1" applyFill="1" applyBorder="1" applyAlignment="1">
      <alignment horizontal="center" vertical="center"/>
    </xf>
    <xf numFmtId="0" fontId="2" fillId="3" borderId="2" xfId="0" applyFont="1" applyFill="1" applyBorder="1" applyAlignment="1">
      <alignment horizontal="center" vertical="center"/>
    </xf>
    <xf numFmtId="0" fontId="2" fillId="3" borderId="3" xfId="0" applyFont="1" applyFill="1" applyBorder="1" applyAlignment="1">
      <alignment horizontal="center" vertical="center"/>
    </xf>
    <xf numFmtId="0" fontId="2" fillId="3" borderId="4" xfId="0" applyFont="1" applyFill="1" applyBorder="1" applyAlignment="1">
      <alignment horizontal="center" vertical="center"/>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4" fillId="3" borderId="2" xfId="0" applyFont="1" applyFill="1" applyBorder="1" applyAlignment="1">
      <alignment horizontal="center" vertical="center"/>
    </xf>
    <xf numFmtId="0" fontId="4" fillId="3" borderId="4" xfId="0" applyFont="1" applyFill="1" applyBorder="1" applyAlignment="1">
      <alignment horizontal="center" vertical="center"/>
    </xf>
    <xf numFmtId="0" fontId="4" fillId="3" borderId="3" xfId="0" applyFont="1" applyFill="1" applyBorder="1" applyAlignment="1">
      <alignment horizontal="center" vertical="center"/>
    </xf>
    <xf numFmtId="0" fontId="7" fillId="4" borderId="2" xfId="0" applyFont="1" applyFill="1" applyBorder="1" applyAlignment="1">
      <alignment horizontal="center" vertical="center"/>
    </xf>
    <xf numFmtId="0" fontId="7" fillId="4" borderId="3" xfId="0" applyFont="1" applyFill="1" applyBorder="1" applyAlignment="1">
      <alignment horizontal="center" vertical="center"/>
    </xf>
    <xf numFmtId="0" fontId="7" fillId="4" borderId="4" xfId="0" applyFont="1" applyFill="1" applyBorder="1" applyAlignment="1">
      <alignment horizontal="center" vertical="center"/>
    </xf>
    <xf numFmtId="0" fontId="10" fillId="0" borderId="12" xfId="0" applyFont="1" applyBorder="1" applyAlignment="1">
      <alignment horizontal="center" vertical="center"/>
    </xf>
    <xf numFmtId="0" fontId="10" fillId="0" borderId="13" xfId="0" applyFont="1" applyBorder="1" applyAlignment="1">
      <alignment horizontal="center" vertical="center"/>
    </xf>
    <xf numFmtId="0" fontId="10" fillId="0" borderId="14" xfId="0" applyFont="1" applyBorder="1" applyAlignment="1">
      <alignment horizontal="center" vertical="center"/>
    </xf>
    <xf numFmtId="0" fontId="1" fillId="0" borderId="13" xfId="0" applyFont="1" applyBorder="1" applyAlignment="1">
      <alignment vertical="top"/>
    </xf>
    <xf numFmtId="0" fontId="5" fillId="0" borderId="7" xfId="0" applyFont="1" applyBorder="1" applyAlignment="1">
      <alignment horizontal="justify" vertical="center"/>
    </xf>
    <xf numFmtId="0" fontId="2" fillId="6" borderId="2" xfId="0" applyFont="1" applyFill="1" applyBorder="1" applyAlignment="1">
      <alignment horizontal="center" vertical="center"/>
    </xf>
    <xf numFmtId="0" fontId="2" fillId="6" borderId="3" xfId="0" applyFont="1" applyFill="1" applyBorder="1" applyAlignment="1">
      <alignment horizontal="center" vertical="center"/>
    </xf>
    <xf numFmtId="0" fontId="2" fillId="6" borderId="4" xfId="0" applyFont="1" applyFill="1" applyBorder="1" applyAlignment="1">
      <alignment horizontal="center" vertical="center"/>
    </xf>
    <xf numFmtId="0" fontId="4" fillId="7" borderId="2" xfId="0" applyFont="1" applyFill="1" applyBorder="1" applyAlignment="1">
      <alignment horizontal="center" vertical="center" wrapText="1"/>
    </xf>
    <xf numFmtId="0" fontId="4" fillId="7" borderId="4" xfId="0" applyFont="1" applyFill="1" applyBorder="1" applyAlignment="1">
      <alignment horizontal="center" vertical="center" wrapText="1"/>
    </xf>
    <xf numFmtId="0" fontId="10" fillId="0" borderId="2" xfId="0" applyFont="1" applyBorder="1" applyAlignment="1">
      <alignment horizontal="center" vertical="center"/>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4" fillId="7" borderId="6" xfId="0" applyFont="1" applyFill="1" applyBorder="1" applyAlignment="1">
      <alignment horizontal="center" vertical="center" wrapText="1"/>
    </xf>
    <xf numFmtId="0" fontId="4" fillId="7" borderId="8" xfId="0" applyFont="1" applyFill="1" applyBorder="1" applyAlignment="1">
      <alignment horizontal="center" vertical="center" wrapText="1"/>
    </xf>
    <xf numFmtId="0" fontId="4" fillId="7" borderId="6" xfId="0" applyFont="1" applyFill="1" applyBorder="1" applyAlignment="1">
      <alignment horizontal="center" vertical="center"/>
    </xf>
    <xf numFmtId="0" fontId="4" fillId="7" borderId="7" xfId="0" applyFont="1" applyFill="1" applyBorder="1" applyAlignment="1">
      <alignment horizontal="center" vertical="center"/>
    </xf>
    <xf numFmtId="0" fontId="4" fillId="7" borderId="8" xfId="0" applyFont="1" applyFill="1" applyBorder="1" applyAlignment="1">
      <alignment horizontal="center" vertical="center"/>
    </xf>
    <xf numFmtId="0" fontId="4" fillId="2" borderId="2"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3" fillId="0" borderId="2" xfId="0" applyFont="1" applyBorder="1" applyAlignment="1">
      <alignment vertical="center" wrapText="1"/>
    </xf>
    <xf numFmtId="0" fontId="3" fillId="0" borderId="4" xfId="0" applyFont="1" applyBorder="1" applyAlignment="1">
      <alignment vertical="center" wrapText="1"/>
    </xf>
    <xf numFmtId="0" fontId="5" fillId="0" borderId="13" xfId="0" applyFont="1" applyBorder="1" applyAlignment="1">
      <alignment vertical="center" wrapText="1"/>
    </xf>
    <xf numFmtId="0" fontId="5" fillId="0" borderId="0" xfId="0" applyFont="1" applyAlignment="1">
      <alignment vertical="center" wrapText="1"/>
    </xf>
    <xf numFmtId="0" fontId="3" fillId="0" borderId="3" xfId="0" applyFont="1" applyBorder="1" applyAlignment="1">
      <alignment vertical="center" wrapText="1"/>
    </xf>
    <xf numFmtId="0" fontId="4" fillId="3" borderId="3" xfId="0" applyFont="1" applyFill="1" applyBorder="1" applyAlignment="1">
      <alignment horizontal="center" vertical="center" wrapText="1"/>
    </xf>
    <xf numFmtId="9" fontId="5" fillId="0" borderId="2" xfId="1" applyFont="1" applyFill="1" applyBorder="1" applyAlignment="1">
      <alignment horizontal="center" vertical="center" wrapText="1"/>
    </xf>
    <xf numFmtId="9" fontId="5" fillId="0" borderId="3" xfId="1" applyFont="1" applyFill="1" applyBorder="1" applyAlignment="1">
      <alignment horizontal="center" vertical="center" wrapText="1"/>
    </xf>
    <xf numFmtId="9" fontId="5" fillId="0" borderId="4" xfId="1" applyFont="1" applyFill="1" applyBorder="1" applyAlignment="1">
      <alignment horizontal="center" vertical="center" wrapText="1"/>
    </xf>
  </cellXfs>
  <cellStyles count="2">
    <cellStyle name="Normal" xfId="0" builtinId="0"/>
    <cellStyle name="Porcentaje" xfId="1" builtinId="5"/>
  </cellStyles>
  <dxfs count="3">
    <dxf>
      <font>
        <color rgb="FF9C0006"/>
      </font>
      <fill>
        <patternFill>
          <bgColor rgb="FFFFC7CE"/>
        </patternFill>
      </fill>
    </dxf>
    <dxf>
      <font>
        <color rgb="FF9C5700"/>
      </font>
      <fill>
        <patternFill>
          <bgColor rgb="FFFFEB9C"/>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diprece.minsal.cl/wp-content/uploads/2022/07/2022.06.30_NORMA-TECNICA-TUBERCULOSIS-v4.pdf"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6"/>
  <sheetViews>
    <sheetView topLeftCell="A10" workbookViewId="0">
      <selection activeCell="B17" sqref="B17:C17"/>
    </sheetView>
  </sheetViews>
  <sheetFormatPr baseColWidth="10" defaultColWidth="11.42578125" defaultRowHeight="15" x14ac:dyDescent="0.25"/>
  <cols>
    <col min="1" max="1" width="4.7109375" customWidth="1"/>
    <col min="2" max="2" width="41.42578125" customWidth="1"/>
    <col min="3" max="3" width="179.7109375" customWidth="1"/>
  </cols>
  <sheetData>
    <row r="1" spans="1:14" x14ac:dyDescent="0.25">
      <c r="A1" s="54" t="s">
        <v>0</v>
      </c>
      <c r="B1" s="54"/>
      <c r="C1" s="54"/>
    </row>
    <row r="2" spans="1:14" x14ac:dyDescent="0.25">
      <c r="A2" s="57" t="s">
        <v>1</v>
      </c>
      <c r="B2" s="57"/>
      <c r="C2" s="44" t="s">
        <v>2</v>
      </c>
    </row>
    <row r="3" spans="1:14" x14ac:dyDescent="0.25">
      <c r="A3" s="57" t="s">
        <v>3</v>
      </c>
      <c r="B3" s="57"/>
      <c r="C3" s="44" t="s">
        <v>2</v>
      </c>
    </row>
    <row r="4" spans="1:14" x14ac:dyDescent="0.25">
      <c r="A4" s="57" t="s">
        <v>4</v>
      </c>
      <c r="B4" s="57"/>
      <c r="C4" s="45" t="e">
        <f>C2*0.1</f>
        <v>#VALUE!</v>
      </c>
    </row>
    <row r="5" spans="1:14" x14ac:dyDescent="0.25">
      <c r="A5" s="57" t="s">
        <v>5</v>
      </c>
      <c r="B5" s="57"/>
      <c r="C5" s="45" t="e">
        <f>C3*0.117</f>
        <v>#VALUE!</v>
      </c>
    </row>
    <row r="6" spans="1:14" ht="14.45" x14ac:dyDescent="0.3">
      <c r="A6" s="50" t="s">
        <v>6</v>
      </c>
      <c r="B6" s="50"/>
    </row>
    <row r="7" spans="1:14" ht="14.45" x14ac:dyDescent="0.3">
      <c r="A7" s="50" t="s">
        <v>7</v>
      </c>
      <c r="B7" s="50"/>
    </row>
    <row r="8" spans="1:14" ht="14.45" x14ac:dyDescent="0.3">
      <c r="A8" s="56" t="s">
        <v>8</v>
      </c>
      <c r="B8" s="56"/>
      <c r="C8" s="56"/>
    </row>
    <row r="9" spans="1:14" ht="14.45" x14ac:dyDescent="0.3">
      <c r="A9" s="41"/>
    </row>
    <row r="10" spans="1:14" ht="75.75" customHeight="1" x14ac:dyDescent="0.25">
      <c r="A10" s="55" t="s">
        <v>9</v>
      </c>
      <c r="B10" s="55"/>
      <c r="C10" s="55"/>
      <c r="D10" s="42"/>
      <c r="E10" s="42"/>
      <c r="F10" s="42"/>
      <c r="G10" s="42"/>
      <c r="H10" s="42"/>
      <c r="I10" s="42"/>
      <c r="J10" s="42"/>
      <c r="K10" s="42"/>
      <c r="L10" s="42"/>
      <c r="M10" s="42"/>
      <c r="N10" s="42"/>
    </row>
    <row r="11" spans="1:14" ht="14.45" x14ac:dyDescent="0.3">
      <c r="A11" s="40"/>
      <c r="B11" s="40"/>
      <c r="C11" s="40"/>
      <c r="D11" s="40"/>
      <c r="E11" s="40"/>
      <c r="F11" s="40"/>
      <c r="G11" s="40"/>
      <c r="H11" s="40"/>
      <c r="I11" s="40"/>
      <c r="J11" s="40"/>
      <c r="K11" s="40"/>
      <c r="L11" s="40"/>
      <c r="M11" s="40"/>
      <c r="N11" s="40"/>
    </row>
    <row r="12" spans="1:14" ht="17.25" customHeight="1" x14ac:dyDescent="0.3">
      <c r="A12" s="56" t="s">
        <v>10</v>
      </c>
      <c r="B12" s="56"/>
      <c r="C12" s="56"/>
      <c r="D12" s="40"/>
      <c r="E12" s="40"/>
      <c r="F12" s="40"/>
      <c r="G12" s="40"/>
      <c r="H12" s="40"/>
      <c r="I12" s="40"/>
      <c r="J12" s="40"/>
      <c r="K12" s="40"/>
      <c r="L12" s="40"/>
      <c r="M12" s="40"/>
      <c r="N12" s="40"/>
    </row>
    <row r="13" spans="1:14" ht="61.5" customHeight="1" x14ac:dyDescent="0.25">
      <c r="A13" s="55" t="s">
        <v>11</v>
      </c>
      <c r="B13" s="55"/>
      <c r="C13" s="55"/>
      <c r="D13" s="42"/>
      <c r="E13" s="55"/>
      <c r="F13" s="55"/>
      <c r="G13" s="55"/>
      <c r="H13" s="55"/>
      <c r="I13" s="55"/>
      <c r="J13" s="55"/>
      <c r="K13" s="55"/>
      <c r="L13" s="55"/>
      <c r="M13" s="55"/>
      <c r="N13" s="55"/>
    </row>
    <row r="15" spans="1:14" x14ac:dyDescent="0.25">
      <c r="A15" s="56" t="s">
        <v>12</v>
      </c>
      <c r="B15" s="56"/>
      <c r="C15" s="56"/>
    </row>
    <row r="16" spans="1:14" ht="15.6" x14ac:dyDescent="0.3">
      <c r="A16" s="43">
        <v>1</v>
      </c>
      <c r="B16" s="53" t="s">
        <v>13</v>
      </c>
      <c r="C16" s="53"/>
    </row>
    <row r="17" spans="1:3" ht="15.75" x14ac:dyDescent="0.25">
      <c r="A17" s="43">
        <v>2</v>
      </c>
      <c r="B17" s="53" t="s">
        <v>14</v>
      </c>
      <c r="C17" s="53"/>
    </row>
    <row r="18" spans="1:3" ht="15.75" x14ac:dyDescent="0.25">
      <c r="A18" s="43">
        <v>3</v>
      </c>
      <c r="B18" s="53" t="s">
        <v>15</v>
      </c>
      <c r="C18" s="53"/>
    </row>
    <row r="19" spans="1:3" ht="15.75" x14ac:dyDescent="0.25">
      <c r="A19" s="43">
        <v>4</v>
      </c>
      <c r="B19" s="53" t="s">
        <v>16</v>
      </c>
      <c r="C19" s="53"/>
    </row>
    <row r="20" spans="1:3" ht="15.75" x14ac:dyDescent="0.25">
      <c r="A20" s="43">
        <v>5</v>
      </c>
      <c r="B20" s="53" t="s">
        <v>17</v>
      </c>
      <c r="C20" s="53"/>
    </row>
    <row r="21" spans="1:3" ht="15.75" x14ac:dyDescent="0.25">
      <c r="A21" s="43">
        <v>6</v>
      </c>
      <c r="B21" s="53" t="s">
        <v>18</v>
      </c>
      <c r="C21" s="53"/>
    </row>
    <row r="22" spans="1:3" ht="15.75" x14ac:dyDescent="0.25">
      <c r="A22" s="43">
        <v>7</v>
      </c>
      <c r="B22" s="53" t="s">
        <v>19</v>
      </c>
      <c r="C22" s="53"/>
    </row>
    <row r="23" spans="1:3" ht="15.6" x14ac:dyDescent="0.3">
      <c r="A23" s="43">
        <v>8</v>
      </c>
      <c r="B23" s="53" t="s">
        <v>20</v>
      </c>
      <c r="C23" s="53"/>
    </row>
    <row r="24" spans="1:3" ht="15.75" x14ac:dyDescent="0.25">
      <c r="A24" s="43">
        <v>9</v>
      </c>
      <c r="B24" s="43" t="s">
        <v>21</v>
      </c>
      <c r="C24" s="43"/>
    </row>
    <row r="25" spans="1:3" ht="15.75" x14ac:dyDescent="0.25">
      <c r="A25" s="43">
        <v>10</v>
      </c>
      <c r="B25" s="53" t="s">
        <v>22</v>
      </c>
      <c r="C25" s="53"/>
    </row>
    <row r="26" spans="1:3" ht="15.6" x14ac:dyDescent="0.3">
      <c r="A26" s="43">
        <v>11</v>
      </c>
      <c r="B26" s="53" t="s">
        <v>23</v>
      </c>
      <c r="C26" s="53"/>
    </row>
    <row r="27" spans="1:3" ht="15.6" x14ac:dyDescent="0.3">
      <c r="A27" s="43">
        <v>12</v>
      </c>
      <c r="B27" t="s">
        <v>24</v>
      </c>
      <c r="C27" s="43"/>
    </row>
    <row r="28" spans="1:3" ht="15.75" x14ac:dyDescent="0.25">
      <c r="A28" s="43">
        <v>13</v>
      </c>
      <c r="B28" s="53" t="s">
        <v>25</v>
      </c>
      <c r="C28" s="53"/>
    </row>
    <row r="29" spans="1:3" ht="15.75" x14ac:dyDescent="0.25">
      <c r="A29" s="43">
        <v>14</v>
      </c>
      <c r="B29" s="53" t="s">
        <v>26</v>
      </c>
      <c r="C29" s="53"/>
    </row>
    <row r="30" spans="1:3" ht="15.75" x14ac:dyDescent="0.25">
      <c r="A30" s="43">
        <v>15</v>
      </c>
      <c r="B30" s="53" t="s">
        <v>27</v>
      </c>
      <c r="C30" s="53"/>
    </row>
    <row r="31" spans="1:3" ht="15.6" x14ac:dyDescent="0.3">
      <c r="A31" s="43">
        <v>16</v>
      </c>
      <c r="B31" s="53" t="s">
        <v>28</v>
      </c>
      <c r="C31" s="53"/>
    </row>
    <row r="32" spans="1:3" ht="15.75" x14ac:dyDescent="0.25">
      <c r="A32" s="43">
        <v>17</v>
      </c>
      <c r="B32" s="53" t="s">
        <v>29</v>
      </c>
      <c r="C32" s="53"/>
    </row>
    <row r="33" spans="1:3" ht="15.75" x14ac:dyDescent="0.25">
      <c r="A33" s="43">
        <v>18</v>
      </c>
      <c r="B33" s="53" t="s">
        <v>30</v>
      </c>
      <c r="C33" s="53"/>
    </row>
    <row r="34" spans="1:3" ht="15.75" x14ac:dyDescent="0.25">
      <c r="A34" s="43">
        <v>19</v>
      </c>
      <c r="B34" s="53" t="s">
        <v>31</v>
      </c>
      <c r="C34" s="53"/>
    </row>
    <row r="35" spans="1:3" ht="15.75" x14ac:dyDescent="0.25">
      <c r="A35" s="43" t="s">
        <v>32</v>
      </c>
      <c r="B35" s="43" t="s">
        <v>33</v>
      </c>
    </row>
    <row r="36" spans="1:3" ht="15.75" x14ac:dyDescent="0.25">
      <c r="A36" s="43"/>
    </row>
  </sheetData>
  <mergeCells count="32">
    <mergeCell ref="E13:F13"/>
    <mergeCell ref="G13:H13"/>
    <mergeCell ref="I13:J13"/>
    <mergeCell ref="K13:L13"/>
    <mergeCell ref="M13:N13"/>
    <mergeCell ref="A1:C1"/>
    <mergeCell ref="A10:C10"/>
    <mergeCell ref="A12:C12"/>
    <mergeCell ref="A13:C13"/>
    <mergeCell ref="A15:C15"/>
    <mergeCell ref="A2:B2"/>
    <mergeCell ref="A3:B3"/>
    <mergeCell ref="A4:B4"/>
    <mergeCell ref="A5:B5"/>
    <mergeCell ref="A8:C8"/>
    <mergeCell ref="B21:C21"/>
    <mergeCell ref="B22:C22"/>
    <mergeCell ref="B17:C17"/>
    <mergeCell ref="B23:C23"/>
    <mergeCell ref="B16:C16"/>
    <mergeCell ref="B18:C18"/>
    <mergeCell ref="B19:C19"/>
    <mergeCell ref="B20:C20"/>
    <mergeCell ref="B26:C26"/>
    <mergeCell ref="B31:C31"/>
    <mergeCell ref="B32:C32"/>
    <mergeCell ref="B34:C34"/>
    <mergeCell ref="B25:C25"/>
    <mergeCell ref="B33:C33"/>
    <mergeCell ref="B28:C28"/>
    <mergeCell ref="B29:C29"/>
    <mergeCell ref="B30:C30"/>
  </mergeCells>
  <hyperlinks>
    <hyperlink ref="B32" r:id="rId1" display="https://diprece.minsal.cl/wp-content/uploads/2022/07/2022.06.30_NORMA-TECNICA-TUBERCULOSIS-v4.pdf"/>
  </hyperlinks>
  <pageMargins left="0.7" right="0.7" top="0.75" bottom="0.75" header="0.3" footer="0.3"/>
  <pageSetup paperSize="5" orientation="landscape" horizontalDpi="300" verticalDpi="300"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206"/>
  <sheetViews>
    <sheetView tabSelected="1" topLeftCell="A63" zoomScale="110" zoomScaleNormal="110" workbookViewId="0">
      <selection activeCell="G65" sqref="G65:J65"/>
    </sheetView>
  </sheetViews>
  <sheetFormatPr baseColWidth="10" defaultColWidth="11.42578125" defaultRowHeight="15" x14ac:dyDescent="0.25"/>
  <cols>
    <col min="1" max="1" width="5" customWidth="1"/>
    <col min="2" max="2" width="27.7109375" customWidth="1"/>
    <col min="3" max="3" width="8.140625" customWidth="1"/>
    <col min="4" max="4" width="7.42578125" customWidth="1"/>
    <col min="5" max="5" width="8.7109375" customWidth="1"/>
    <col min="6" max="6" width="78.7109375" customWidth="1"/>
    <col min="7" max="7" width="18" bestFit="1" customWidth="1"/>
    <col min="8" max="8" width="20.7109375" bestFit="1" customWidth="1"/>
    <col min="9" max="9" width="16.7109375" bestFit="1" customWidth="1"/>
    <col min="10" max="10" width="77.28515625" customWidth="1"/>
    <col min="11" max="11" width="45.42578125" customWidth="1"/>
    <col min="12" max="12" width="24" customWidth="1"/>
  </cols>
  <sheetData>
    <row r="1" spans="1:10" ht="19.5" thickBot="1" x14ac:dyDescent="0.3">
      <c r="A1" s="92" t="s">
        <v>34</v>
      </c>
      <c r="B1" s="93"/>
      <c r="C1" s="93"/>
      <c r="D1" s="93"/>
      <c r="E1" s="93"/>
      <c r="F1" s="93"/>
      <c r="G1" s="93"/>
      <c r="H1" s="93"/>
      <c r="I1" s="93"/>
      <c r="J1" s="94"/>
    </row>
    <row r="2" spans="1:10" ht="16.149999999999999" thickBot="1" x14ac:dyDescent="0.35">
      <c r="A2" s="95" t="s">
        <v>35</v>
      </c>
      <c r="B2" s="96"/>
      <c r="C2" s="96"/>
      <c r="D2" s="96"/>
      <c r="E2" s="96"/>
      <c r="F2" s="96"/>
      <c r="G2" s="96"/>
      <c r="H2" s="96"/>
      <c r="I2" s="96"/>
      <c r="J2" s="97"/>
    </row>
    <row r="3" spans="1:10" thickBot="1" x14ac:dyDescent="0.35">
      <c r="A3" s="85" t="s">
        <v>36</v>
      </c>
      <c r="B3" s="86"/>
      <c r="C3" s="86"/>
      <c r="D3" s="86"/>
      <c r="E3" s="86"/>
      <c r="F3" s="86"/>
      <c r="G3" s="86"/>
      <c r="H3" s="86"/>
      <c r="I3" s="86"/>
      <c r="J3" s="87"/>
    </row>
    <row r="4" spans="1:10" thickBot="1" x14ac:dyDescent="0.35">
      <c r="A4" s="85" t="s">
        <v>37</v>
      </c>
      <c r="B4" s="86"/>
      <c r="C4" s="86"/>
      <c r="D4" s="86"/>
      <c r="E4" s="86"/>
      <c r="F4" s="86"/>
      <c r="G4" s="86"/>
      <c r="H4" s="86"/>
      <c r="I4" s="86"/>
      <c r="J4" s="87"/>
    </row>
    <row r="5" spans="1:10" thickBot="1" x14ac:dyDescent="0.35">
      <c r="A5" s="85" t="s">
        <v>38</v>
      </c>
      <c r="B5" s="86"/>
      <c r="C5" s="86"/>
      <c r="D5" s="86"/>
      <c r="E5" s="86"/>
      <c r="F5" s="86"/>
      <c r="G5" s="86"/>
      <c r="H5" s="86"/>
      <c r="I5" s="86"/>
      <c r="J5" s="87"/>
    </row>
    <row r="6" spans="1:10" thickBot="1" x14ac:dyDescent="0.35">
      <c r="A6" s="85" t="s">
        <v>39</v>
      </c>
      <c r="B6" s="86"/>
      <c r="C6" s="86"/>
      <c r="D6" s="86"/>
      <c r="E6" s="86"/>
      <c r="F6" s="86"/>
      <c r="G6" s="86"/>
      <c r="H6" s="86"/>
      <c r="I6" s="86"/>
      <c r="J6" s="87"/>
    </row>
    <row r="7" spans="1:10" thickBot="1" x14ac:dyDescent="0.35">
      <c r="A7" s="85" t="s">
        <v>40</v>
      </c>
      <c r="B7" s="86"/>
      <c r="C7" s="86"/>
      <c r="D7" s="86"/>
      <c r="E7" s="86"/>
      <c r="F7" s="86"/>
      <c r="G7" s="86"/>
      <c r="H7" s="86"/>
      <c r="I7" s="86"/>
      <c r="J7" s="87"/>
    </row>
    <row r="8" spans="1:10" ht="16.149999999999999" thickBot="1" x14ac:dyDescent="0.35">
      <c r="A8" s="88"/>
      <c r="B8" s="88"/>
      <c r="C8" s="88"/>
      <c r="D8" s="88"/>
      <c r="E8" s="88"/>
      <c r="F8" s="88"/>
      <c r="G8" s="88"/>
      <c r="H8" s="88"/>
      <c r="I8" s="88"/>
      <c r="J8" s="88"/>
    </row>
    <row r="9" spans="1:10" ht="16.5" thickBot="1" x14ac:dyDescent="0.3">
      <c r="A9" s="89" t="s">
        <v>41</v>
      </c>
      <c r="B9" s="90"/>
      <c r="C9" s="90"/>
      <c r="D9" s="90"/>
      <c r="E9" s="90"/>
      <c r="F9" s="90"/>
      <c r="G9" s="90"/>
      <c r="H9" s="90"/>
      <c r="I9" s="90"/>
      <c r="J9" s="91"/>
    </row>
    <row r="10" spans="1:10" thickBot="1" x14ac:dyDescent="0.35">
      <c r="A10" s="85" t="s">
        <v>42</v>
      </c>
      <c r="B10" s="86"/>
      <c r="C10" s="86"/>
      <c r="D10" s="86"/>
      <c r="E10" s="86"/>
      <c r="F10" s="86"/>
      <c r="G10" s="86"/>
      <c r="H10" s="86"/>
      <c r="I10" s="86"/>
      <c r="J10" s="87"/>
    </row>
    <row r="11" spans="1:10" thickBot="1" x14ac:dyDescent="0.35">
      <c r="A11" s="85" t="s">
        <v>43</v>
      </c>
      <c r="B11" s="86"/>
      <c r="C11" s="86"/>
      <c r="D11" s="86"/>
      <c r="E11" s="86"/>
      <c r="F11" s="86"/>
      <c r="G11" s="86"/>
      <c r="H11" s="86"/>
      <c r="I11" s="86"/>
      <c r="J11" s="87"/>
    </row>
    <row r="12" spans="1:10" thickBot="1" x14ac:dyDescent="0.35">
      <c r="A12" s="85" t="s">
        <v>44</v>
      </c>
      <c r="B12" s="86"/>
      <c r="C12" s="86"/>
      <c r="D12" s="86"/>
      <c r="E12" s="86"/>
      <c r="F12" s="86"/>
      <c r="G12" s="86"/>
      <c r="H12" s="86"/>
      <c r="I12" s="86"/>
      <c r="J12" s="87"/>
    </row>
    <row r="13" spans="1:10" ht="15.75" thickBot="1" x14ac:dyDescent="0.3">
      <c r="A13" s="85" t="s">
        <v>45</v>
      </c>
      <c r="B13" s="86"/>
      <c r="C13" s="86"/>
      <c r="D13" s="86"/>
      <c r="E13" s="86"/>
      <c r="F13" s="86"/>
      <c r="G13" s="86"/>
      <c r="H13" s="86"/>
      <c r="I13" s="86"/>
      <c r="J13" s="87"/>
    </row>
    <row r="14" spans="1:10" ht="15.75" thickBot="1" x14ac:dyDescent="0.3">
      <c r="A14" s="85" t="s">
        <v>46</v>
      </c>
      <c r="B14" s="86"/>
      <c r="C14" s="86"/>
      <c r="D14" s="86"/>
      <c r="E14" s="86"/>
      <c r="F14" s="86"/>
      <c r="G14" s="86"/>
      <c r="H14" s="86"/>
      <c r="I14" s="86"/>
      <c r="J14" s="87"/>
    </row>
    <row r="15" spans="1:10" thickBot="1" x14ac:dyDescent="0.35">
      <c r="A15" s="85" t="s">
        <v>47</v>
      </c>
      <c r="B15" s="86"/>
      <c r="C15" s="86"/>
      <c r="D15" s="86"/>
      <c r="E15" s="86"/>
      <c r="F15" s="86"/>
      <c r="G15" s="86"/>
      <c r="H15" s="86"/>
      <c r="I15" s="86"/>
      <c r="J15" s="87"/>
    </row>
    <row r="16" spans="1:10" thickBot="1" x14ac:dyDescent="0.35">
      <c r="A16" s="85" t="s">
        <v>48</v>
      </c>
      <c r="B16" s="86"/>
      <c r="C16" s="86"/>
      <c r="D16" s="86"/>
      <c r="E16" s="86"/>
      <c r="F16" s="86"/>
      <c r="G16" s="86"/>
      <c r="H16" s="86"/>
      <c r="I16" s="86"/>
      <c r="J16" s="87"/>
    </row>
    <row r="17" spans="1:10" ht="15.75" thickBot="1" x14ac:dyDescent="0.3">
      <c r="A17" s="85" t="s">
        <v>49</v>
      </c>
      <c r="B17" s="86"/>
      <c r="C17" s="86"/>
      <c r="D17" s="86"/>
      <c r="E17" s="86"/>
      <c r="F17" s="86"/>
      <c r="G17" s="86"/>
      <c r="H17" s="86"/>
      <c r="I17" s="86"/>
      <c r="J17" s="87"/>
    </row>
    <row r="18" spans="1:10" ht="15.75" thickBot="1" x14ac:dyDescent="0.3">
      <c r="A18" s="85" t="s">
        <v>50</v>
      </c>
      <c r="B18" s="86"/>
      <c r="C18" s="86"/>
      <c r="D18" s="86"/>
      <c r="E18" s="86"/>
      <c r="F18" s="86"/>
      <c r="G18" s="86"/>
      <c r="H18" s="86"/>
      <c r="I18" s="86"/>
      <c r="J18" s="87"/>
    </row>
    <row r="19" spans="1:10" ht="15.75" thickBot="1" x14ac:dyDescent="0.3">
      <c r="A19" s="85" t="s">
        <v>51</v>
      </c>
      <c r="B19" s="86"/>
      <c r="C19" s="86"/>
      <c r="D19" s="86"/>
      <c r="E19" s="86"/>
      <c r="F19" s="86"/>
      <c r="G19" s="86"/>
      <c r="H19" s="86"/>
      <c r="I19" s="86"/>
      <c r="J19" s="87"/>
    </row>
    <row r="20" spans="1:10" ht="16.149999999999999" thickBot="1" x14ac:dyDescent="0.35">
      <c r="A20" s="3"/>
      <c r="B20" s="3"/>
      <c r="C20" s="3"/>
      <c r="D20" s="88"/>
      <c r="E20" s="88"/>
      <c r="F20" s="3"/>
      <c r="G20" s="3"/>
      <c r="H20" s="3"/>
      <c r="I20" s="3"/>
      <c r="J20" s="3"/>
    </row>
    <row r="21" spans="1:10" ht="18.600000000000001" thickBot="1" x14ac:dyDescent="0.35">
      <c r="A21" s="92" t="s">
        <v>10</v>
      </c>
      <c r="B21" s="93"/>
      <c r="C21" s="93"/>
      <c r="D21" s="93"/>
      <c r="E21" s="93"/>
      <c r="F21" s="93"/>
      <c r="G21" s="93"/>
      <c r="H21" s="93"/>
      <c r="I21" s="93"/>
      <c r="J21" s="94"/>
    </row>
    <row r="22" spans="1:10" thickBot="1" x14ac:dyDescent="0.35">
      <c r="A22" s="101" t="s">
        <v>52</v>
      </c>
      <c r="B22" s="102"/>
      <c r="C22" s="101" t="s">
        <v>53</v>
      </c>
      <c r="D22" s="103"/>
      <c r="E22" s="102"/>
      <c r="F22" s="4" t="s">
        <v>54</v>
      </c>
      <c r="G22" s="4" t="s">
        <v>55</v>
      </c>
      <c r="H22" s="4" t="s">
        <v>56</v>
      </c>
      <c r="I22" s="4" t="s">
        <v>57</v>
      </c>
      <c r="J22" s="4" t="s">
        <v>58</v>
      </c>
    </row>
    <row r="23" spans="1:10" ht="348.75" customHeight="1" thickBot="1" x14ac:dyDescent="0.3">
      <c r="A23" s="18">
        <v>1</v>
      </c>
      <c r="B23" s="19" t="s">
        <v>59</v>
      </c>
      <c r="C23" s="98"/>
      <c r="D23" s="99"/>
      <c r="E23" s="100"/>
      <c r="F23" s="17" t="s">
        <v>164</v>
      </c>
      <c r="G23" s="48"/>
      <c r="H23" s="36"/>
      <c r="I23" s="36" t="e">
        <f>G23/H23*10000</f>
        <v>#DIV/0!</v>
      </c>
      <c r="J23" s="49" t="s">
        <v>162</v>
      </c>
    </row>
    <row r="24" spans="1:10" ht="340.5" customHeight="1" thickBot="1" x14ac:dyDescent="0.3">
      <c r="A24" s="18">
        <v>2</v>
      </c>
      <c r="B24" s="5" t="s">
        <v>61</v>
      </c>
      <c r="C24" s="98"/>
      <c r="D24" s="99"/>
      <c r="E24" s="100"/>
      <c r="F24" s="17" t="s">
        <v>163</v>
      </c>
      <c r="G24" s="48"/>
      <c r="H24" s="36"/>
      <c r="I24" s="36" t="e">
        <f>G24/H24*10000</f>
        <v>#DIV/0!</v>
      </c>
      <c r="J24" s="49" t="s">
        <v>60</v>
      </c>
    </row>
    <row r="25" spans="1:10" ht="230.25" thickBot="1" x14ac:dyDescent="0.3">
      <c r="A25" s="18">
        <v>3</v>
      </c>
      <c r="B25" s="19" t="s">
        <v>62</v>
      </c>
      <c r="C25" s="98"/>
      <c r="D25" s="99"/>
      <c r="E25" s="100"/>
      <c r="F25" s="17" t="s">
        <v>63</v>
      </c>
      <c r="G25" s="36"/>
      <c r="H25" s="36"/>
      <c r="I25" s="37" t="e">
        <f>G25/H25</f>
        <v>#DIV/0!</v>
      </c>
      <c r="J25" s="23" t="s">
        <v>64</v>
      </c>
    </row>
    <row r="26" spans="1:10" ht="245.25" customHeight="1" thickBot="1" x14ac:dyDescent="0.3">
      <c r="A26" s="18">
        <v>4</v>
      </c>
      <c r="B26" s="19" t="s">
        <v>65</v>
      </c>
      <c r="C26" s="98"/>
      <c r="D26" s="99"/>
      <c r="E26" s="100"/>
      <c r="F26" s="16" t="s">
        <v>165</v>
      </c>
      <c r="G26" s="36"/>
      <c r="H26" s="36"/>
      <c r="I26" s="37" t="e">
        <f t="shared" ref="I26:I28" si="0">G26/H26</f>
        <v>#DIV/0!</v>
      </c>
      <c r="J26" s="23" t="s">
        <v>66</v>
      </c>
    </row>
    <row r="27" spans="1:10" ht="243.75" customHeight="1" thickBot="1" x14ac:dyDescent="0.3">
      <c r="A27" s="18">
        <v>5</v>
      </c>
      <c r="B27" s="19" t="s">
        <v>67</v>
      </c>
      <c r="C27" s="98"/>
      <c r="D27" s="99"/>
      <c r="E27" s="100"/>
      <c r="F27" s="46" t="s">
        <v>68</v>
      </c>
      <c r="G27" s="36"/>
      <c r="H27" s="36"/>
      <c r="I27" s="37" t="e">
        <f t="shared" si="0"/>
        <v>#DIV/0!</v>
      </c>
      <c r="J27" s="23" t="s">
        <v>64</v>
      </c>
    </row>
    <row r="28" spans="1:10" ht="237.75" customHeight="1" thickBot="1" x14ac:dyDescent="0.3">
      <c r="A28" s="18">
        <v>6</v>
      </c>
      <c r="B28" s="5" t="s">
        <v>69</v>
      </c>
      <c r="C28" s="98"/>
      <c r="D28" s="99"/>
      <c r="E28" s="100"/>
      <c r="F28" s="16" t="s">
        <v>70</v>
      </c>
      <c r="G28" s="36"/>
      <c r="H28" s="36"/>
      <c r="I28" s="37" t="e">
        <f t="shared" si="0"/>
        <v>#DIV/0!</v>
      </c>
      <c r="J28" s="24" t="s">
        <v>71</v>
      </c>
    </row>
    <row r="29" spans="1:10" ht="214.5" customHeight="1" thickBot="1" x14ac:dyDescent="0.3">
      <c r="A29" s="19">
        <v>7</v>
      </c>
      <c r="B29" s="19" t="s">
        <v>72</v>
      </c>
      <c r="C29" s="98"/>
      <c r="D29" s="99"/>
      <c r="E29" s="100"/>
      <c r="F29" s="46" t="s">
        <v>73</v>
      </c>
      <c r="G29" s="36"/>
      <c r="H29" s="36"/>
      <c r="I29" s="37" t="e">
        <f>G29/H29</f>
        <v>#DIV/0!</v>
      </c>
      <c r="J29" s="23" t="s">
        <v>74</v>
      </c>
    </row>
    <row r="31" spans="1:10" ht="15.75" thickBot="1" x14ac:dyDescent="0.3"/>
    <row r="32" spans="1:10" ht="19.5" thickBot="1" x14ac:dyDescent="0.3">
      <c r="A32" s="104" t="s">
        <v>75</v>
      </c>
      <c r="B32" s="105"/>
      <c r="C32" s="105"/>
      <c r="D32" s="105"/>
      <c r="E32" s="105"/>
      <c r="F32" s="105"/>
      <c r="G32" s="105"/>
      <c r="H32" s="105"/>
      <c r="I32" s="105"/>
      <c r="J32" s="106"/>
    </row>
    <row r="33" spans="1:10" ht="15.75" thickBot="1" x14ac:dyDescent="0.3">
      <c r="A33" s="58" t="s">
        <v>52</v>
      </c>
      <c r="B33" s="62"/>
      <c r="C33" s="60" t="s">
        <v>76</v>
      </c>
      <c r="D33" s="61"/>
      <c r="E33" s="62"/>
      <c r="F33" s="38" t="s">
        <v>54</v>
      </c>
      <c r="G33" s="38" t="s">
        <v>77</v>
      </c>
      <c r="H33" s="38" t="s">
        <v>78</v>
      </c>
      <c r="I33" s="38" t="s">
        <v>79</v>
      </c>
      <c r="J33" s="38" t="s">
        <v>58</v>
      </c>
    </row>
    <row r="34" spans="1:10" ht="188.25" customHeight="1" thickBot="1" x14ac:dyDescent="0.3">
      <c r="A34" s="25">
        <v>1</v>
      </c>
      <c r="B34" s="19" t="s">
        <v>80</v>
      </c>
      <c r="C34" s="67">
        <v>0</v>
      </c>
      <c r="D34" s="68"/>
      <c r="E34" s="69"/>
      <c r="F34" s="17" t="s">
        <v>160</v>
      </c>
      <c r="G34" s="36"/>
      <c r="H34" s="36"/>
      <c r="I34" s="51"/>
      <c r="J34" s="17"/>
    </row>
    <row r="35" spans="1:10" ht="15.75" thickBot="1" x14ac:dyDescent="0.3">
      <c r="A35" s="58" t="s">
        <v>52</v>
      </c>
      <c r="B35" s="62"/>
      <c r="C35" s="60" t="s">
        <v>76</v>
      </c>
      <c r="D35" s="61"/>
      <c r="E35" s="62"/>
      <c r="F35" s="38" t="s">
        <v>81</v>
      </c>
      <c r="G35" s="38" t="s">
        <v>55</v>
      </c>
      <c r="H35" s="38" t="s">
        <v>56</v>
      </c>
      <c r="I35" s="38" t="s">
        <v>57</v>
      </c>
      <c r="J35" s="38" t="s">
        <v>58</v>
      </c>
    </row>
    <row r="36" spans="1:10" ht="339" customHeight="1" thickBot="1" x14ac:dyDescent="0.3">
      <c r="A36" s="26">
        <v>2</v>
      </c>
      <c r="B36" s="19" t="s">
        <v>82</v>
      </c>
      <c r="C36" s="67">
        <v>0</v>
      </c>
      <c r="D36" s="68"/>
      <c r="E36" s="69"/>
      <c r="F36" s="34" t="s">
        <v>83</v>
      </c>
      <c r="G36" s="36"/>
      <c r="H36" s="36"/>
      <c r="I36" s="37" t="e">
        <f>G36/H36</f>
        <v>#DIV/0!</v>
      </c>
      <c r="J36" s="21" t="s">
        <v>84</v>
      </c>
    </row>
    <row r="37" spans="1:10" ht="15.75" thickBot="1" x14ac:dyDescent="0.3">
      <c r="A37" s="58" t="s">
        <v>52</v>
      </c>
      <c r="B37" s="59"/>
      <c r="C37" s="60" t="s">
        <v>76</v>
      </c>
      <c r="D37" s="61"/>
      <c r="E37" s="62"/>
      <c r="F37" s="38" t="s">
        <v>54</v>
      </c>
      <c r="G37" s="58" t="s">
        <v>58</v>
      </c>
      <c r="H37" s="63"/>
      <c r="I37" s="63"/>
      <c r="J37" s="59"/>
    </row>
    <row r="38" spans="1:10" ht="65.25" customHeight="1" thickBot="1" x14ac:dyDescent="0.3">
      <c r="A38" s="9">
        <v>3</v>
      </c>
      <c r="B38" s="7" t="s">
        <v>85</v>
      </c>
      <c r="C38" s="67">
        <v>0</v>
      </c>
      <c r="D38" s="68"/>
      <c r="E38" s="69"/>
      <c r="F38" s="35" t="s">
        <v>86</v>
      </c>
      <c r="G38" s="79"/>
      <c r="H38" s="80"/>
      <c r="I38" s="80"/>
      <c r="J38" s="81"/>
    </row>
    <row r="39" spans="1:10" ht="50.25" customHeight="1" thickBot="1" x14ac:dyDescent="0.3">
      <c r="A39" s="9">
        <v>4</v>
      </c>
      <c r="B39" s="7" t="s">
        <v>87</v>
      </c>
      <c r="C39" s="67">
        <v>0</v>
      </c>
      <c r="D39" s="68"/>
      <c r="E39" s="69"/>
      <c r="F39" s="35" t="s">
        <v>88</v>
      </c>
      <c r="G39" s="79"/>
      <c r="H39" s="80"/>
      <c r="I39" s="80"/>
      <c r="J39" s="81"/>
    </row>
    <row r="40" spans="1:10" ht="51" x14ac:dyDescent="0.25">
      <c r="A40" s="26">
        <v>5</v>
      </c>
      <c r="B40" s="19" t="s">
        <v>89</v>
      </c>
      <c r="C40" s="67">
        <v>0</v>
      </c>
      <c r="D40" s="68"/>
      <c r="E40" s="69"/>
      <c r="F40" s="34" t="s">
        <v>90</v>
      </c>
      <c r="G40" s="79"/>
      <c r="H40" s="80"/>
      <c r="I40" s="80"/>
      <c r="J40" s="81"/>
    </row>
    <row r="41" spans="1:10" ht="46.5" customHeight="1" thickBot="1" x14ac:dyDescent="0.3">
      <c r="A41" s="9">
        <v>6</v>
      </c>
      <c r="B41" s="7" t="s">
        <v>91</v>
      </c>
      <c r="C41" s="67">
        <v>0</v>
      </c>
      <c r="D41" s="68"/>
      <c r="E41" s="69"/>
      <c r="F41" s="35" t="s">
        <v>92</v>
      </c>
      <c r="G41" s="82"/>
      <c r="H41" s="83"/>
      <c r="I41" s="83"/>
      <c r="J41" s="84"/>
    </row>
    <row r="42" spans="1:10" ht="51.75" customHeight="1" thickBot="1" x14ac:dyDescent="0.3">
      <c r="A42" s="9">
        <v>7</v>
      </c>
      <c r="B42" s="7" t="s">
        <v>93</v>
      </c>
      <c r="C42" s="67">
        <v>0</v>
      </c>
      <c r="D42" s="68"/>
      <c r="E42" s="69"/>
      <c r="F42" s="35" t="s">
        <v>94</v>
      </c>
      <c r="G42" s="79"/>
      <c r="H42" s="80"/>
      <c r="I42" s="80"/>
      <c r="J42" s="81"/>
    </row>
    <row r="43" spans="1:10" ht="59.25" customHeight="1" thickBot="1" x14ac:dyDescent="0.3">
      <c r="A43" s="9">
        <v>8</v>
      </c>
      <c r="B43" s="7" t="s">
        <v>95</v>
      </c>
      <c r="C43" s="67">
        <v>0</v>
      </c>
      <c r="D43" s="68"/>
      <c r="E43" s="69"/>
      <c r="F43" s="35" t="s">
        <v>96</v>
      </c>
      <c r="G43" s="79"/>
      <c r="H43" s="80"/>
      <c r="I43" s="80"/>
      <c r="J43" s="81"/>
    </row>
    <row r="44" spans="1:10" ht="45.75" customHeight="1" thickBot="1" x14ac:dyDescent="0.3">
      <c r="A44" s="9">
        <v>9</v>
      </c>
      <c r="B44" s="7" t="s">
        <v>97</v>
      </c>
      <c r="C44" s="67">
        <v>0</v>
      </c>
      <c r="D44" s="68"/>
      <c r="E44" s="69"/>
      <c r="F44" s="35" t="s">
        <v>98</v>
      </c>
      <c r="G44" s="79"/>
      <c r="H44" s="80"/>
      <c r="I44" s="80"/>
      <c r="J44" s="81"/>
    </row>
    <row r="45" spans="1:10" ht="47.25" customHeight="1" thickBot="1" x14ac:dyDescent="0.3">
      <c r="A45" s="9">
        <v>10</v>
      </c>
      <c r="B45" s="7" t="s">
        <v>99</v>
      </c>
      <c r="C45" s="67">
        <v>0</v>
      </c>
      <c r="D45" s="68"/>
      <c r="E45" s="69"/>
      <c r="F45" s="35" t="s">
        <v>100</v>
      </c>
      <c r="G45" s="82"/>
      <c r="H45" s="83"/>
      <c r="I45" s="83"/>
      <c r="J45" s="84"/>
    </row>
    <row r="46" spans="1:10" ht="108" customHeight="1" thickBot="1" x14ac:dyDescent="0.3">
      <c r="A46" s="9">
        <v>11</v>
      </c>
      <c r="B46" s="7" t="s">
        <v>101</v>
      </c>
      <c r="C46" s="67">
        <v>0</v>
      </c>
      <c r="D46" s="68"/>
      <c r="E46" s="69"/>
      <c r="F46" s="35" t="s">
        <v>161</v>
      </c>
      <c r="G46" s="79"/>
      <c r="H46" s="80"/>
      <c r="I46" s="80"/>
      <c r="J46" s="81"/>
    </row>
    <row r="47" spans="1:10" ht="54.75" customHeight="1" thickBot="1" x14ac:dyDescent="0.3">
      <c r="A47" s="9">
        <v>12</v>
      </c>
      <c r="B47" s="7" t="s">
        <v>102</v>
      </c>
      <c r="C47" s="67">
        <v>0</v>
      </c>
      <c r="D47" s="68"/>
      <c r="E47" s="69"/>
      <c r="F47" s="35" t="s">
        <v>103</v>
      </c>
      <c r="G47" s="79"/>
      <c r="H47" s="80"/>
      <c r="I47" s="80"/>
      <c r="J47" s="81"/>
    </row>
    <row r="48" spans="1:10" ht="15.75" x14ac:dyDescent="0.25">
      <c r="A48" s="2"/>
      <c r="B48" s="2"/>
      <c r="C48" s="8"/>
      <c r="D48" s="110"/>
      <c r="E48" s="110"/>
      <c r="F48" s="2"/>
      <c r="G48" s="2"/>
      <c r="H48" s="2"/>
      <c r="I48" s="2"/>
      <c r="J48" s="2"/>
    </row>
    <row r="49" spans="1:10" ht="15.75" thickBot="1" x14ac:dyDescent="0.3">
      <c r="A49" s="10"/>
      <c r="B49" s="11"/>
      <c r="C49" s="12"/>
      <c r="D49" s="111"/>
      <c r="E49" s="111"/>
      <c r="F49" s="11"/>
      <c r="G49" s="11"/>
      <c r="H49" s="11"/>
      <c r="I49" s="11"/>
      <c r="J49" s="11"/>
    </row>
    <row r="50" spans="1:10" ht="16.5" thickBot="1" x14ac:dyDescent="0.3">
      <c r="A50" s="112" t="s">
        <v>104</v>
      </c>
      <c r="B50" s="113"/>
      <c r="C50" s="113"/>
      <c r="D50" s="113"/>
      <c r="E50" s="113"/>
      <c r="F50" s="113"/>
      <c r="G50" s="113"/>
      <c r="H50" s="113"/>
      <c r="I50" s="113"/>
      <c r="J50" s="114"/>
    </row>
    <row r="51" spans="1:10" ht="15.75" thickBot="1" x14ac:dyDescent="0.3">
      <c r="A51" s="115" t="s">
        <v>105</v>
      </c>
      <c r="B51" s="116"/>
      <c r="C51" s="73" t="s">
        <v>76</v>
      </c>
      <c r="D51" s="74"/>
      <c r="E51" s="75"/>
      <c r="F51" s="39" t="s">
        <v>54</v>
      </c>
      <c r="G51" s="73" t="s">
        <v>58</v>
      </c>
      <c r="H51" s="74"/>
      <c r="I51" s="74"/>
      <c r="J51" s="75"/>
    </row>
    <row r="52" spans="1:10" ht="123" customHeight="1" thickBot="1" x14ac:dyDescent="0.3">
      <c r="A52" s="25">
        <v>13</v>
      </c>
      <c r="B52" s="18" t="s">
        <v>106</v>
      </c>
      <c r="C52" s="107">
        <v>0</v>
      </c>
      <c r="D52" s="108"/>
      <c r="E52" s="109"/>
      <c r="F52" s="31" t="s">
        <v>107</v>
      </c>
      <c r="G52" s="70"/>
      <c r="H52" s="71"/>
      <c r="I52" s="71"/>
      <c r="J52" s="72"/>
    </row>
    <row r="53" spans="1:10" ht="141.75" customHeight="1" thickBot="1" x14ac:dyDescent="0.3">
      <c r="A53" s="25">
        <v>14</v>
      </c>
      <c r="B53" s="18" t="s">
        <v>108</v>
      </c>
      <c r="C53" s="107">
        <v>0</v>
      </c>
      <c r="D53" s="108"/>
      <c r="E53" s="109"/>
      <c r="F53" s="31" t="s">
        <v>107</v>
      </c>
      <c r="G53" s="76"/>
      <c r="H53" s="77"/>
      <c r="I53" s="77"/>
      <c r="J53" s="78"/>
    </row>
    <row r="54" spans="1:10" ht="95.25" customHeight="1" thickBot="1" x14ac:dyDescent="0.3">
      <c r="A54" s="25">
        <v>15</v>
      </c>
      <c r="B54" s="19" t="s">
        <v>109</v>
      </c>
      <c r="C54" s="107">
        <v>0</v>
      </c>
      <c r="D54" s="108"/>
      <c r="E54" s="109"/>
      <c r="F54" s="32" t="s">
        <v>110</v>
      </c>
      <c r="G54" s="76"/>
      <c r="H54" s="77"/>
      <c r="I54" s="77"/>
      <c r="J54" s="78"/>
    </row>
    <row r="55" spans="1:10" ht="111.75" customHeight="1" thickBot="1" x14ac:dyDescent="0.3">
      <c r="A55" s="25">
        <v>16</v>
      </c>
      <c r="B55" s="7" t="s">
        <v>111</v>
      </c>
      <c r="C55" s="107">
        <v>0</v>
      </c>
      <c r="D55" s="108"/>
      <c r="E55" s="109"/>
      <c r="F55" s="32" t="s">
        <v>112</v>
      </c>
      <c r="G55" s="70"/>
      <c r="H55" s="71"/>
      <c r="I55" s="71"/>
      <c r="J55" s="72"/>
    </row>
    <row r="56" spans="1:10" ht="114.75" customHeight="1" thickBot="1" x14ac:dyDescent="0.3">
      <c r="A56" s="25">
        <v>17</v>
      </c>
      <c r="B56" s="7" t="s">
        <v>113</v>
      </c>
      <c r="C56" s="107">
        <v>0</v>
      </c>
      <c r="D56" s="108"/>
      <c r="E56" s="109"/>
      <c r="F56" s="27" t="s">
        <v>114</v>
      </c>
      <c r="G56" s="70"/>
      <c r="H56" s="71"/>
      <c r="I56" s="71"/>
      <c r="J56" s="72"/>
    </row>
    <row r="57" spans="1:10" ht="94.5" customHeight="1" thickBot="1" x14ac:dyDescent="0.3">
      <c r="A57" s="47">
        <v>18</v>
      </c>
      <c r="B57" s="18" t="s">
        <v>115</v>
      </c>
      <c r="C57" s="107">
        <v>0</v>
      </c>
      <c r="D57" s="108"/>
      <c r="E57" s="109"/>
      <c r="F57" s="33" t="s">
        <v>116</v>
      </c>
      <c r="G57" s="70"/>
      <c r="H57" s="71"/>
      <c r="I57" s="71"/>
      <c r="J57" s="72"/>
    </row>
    <row r="58" spans="1:10" ht="64.5" customHeight="1" thickBot="1" x14ac:dyDescent="0.3">
      <c r="A58" s="25">
        <v>19</v>
      </c>
      <c r="B58" s="18" t="s">
        <v>117</v>
      </c>
      <c r="C58" s="107">
        <v>0</v>
      </c>
      <c r="D58" s="108"/>
      <c r="E58" s="109"/>
      <c r="F58" s="33" t="s">
        <v>118</v>
      </c>
      <c r="G58" s="76"/>
      <c r="H58" s="77"/>
      <c r="I58" s="77"/>
      <c r="J58" s="78"/>
    </row>
    <row r="59" spans="1:10" ht="114" customHeight="1" thickBot="1" x14ac:dyDescent="0.3">
      <c r="A59" s="26">
        <v>20</v>
      </c>
      <c r="B59" s="19" t="s">
        <v>119</v>
      </c>
      <c r="C59" s="117">
        <v>0</v>
      </c>
      <c r="D59" s="118"/>
      <c r="E59" s="119"/>
      <c r="F59" s="22" t="s">
        <v>120</v>
      </c>
      <c r="G59" s="70"/>
      <c r="H59" s="71"/>
      <c r="I59" s="71"/>
      <c r="J59" s="72"/>
    </row>
    <row r="60" spans="1:10" ht="15.75" thickBot="1" x14ac:dyDescent="0.3">
      <c r="A60" s="120" t="s">
        <v>121</v>
      </c>
      <c r="B60" s="121"/>
      <c r="C60" s="122" t="s">
        <v>76</v>
      </c>
      <c r="D60" s="123"/>
      <c r="E60" s="124"/>
      <c r="F60" s="39" t="s">
        <v>54</v>
      </c>
      <c r="G60" s="73" t="s">
        <v>58</v>
      </c>
      <c r="H60" s="74"/>
      <c r="I60" s="74"/>
      <c r="J60" s="75"/>
    </row>
    <row r="61" spans="1:10" ht="65.25" customHeight="1" thickBot="1" x14ac:dyDescent="0.3">
      <c r="A61" s="26">
        <v>21</v>
      </c>
      <c r="B61" s="19" t="s">
        <v>122</v>
      </c>
      <c r="C61" s="117">
        <v>0</v>
      </c>
      <c r="D61" s="118"/>
      <c r="E61" s="119"/>
      <c r="F61" s="32" t="s">
        <v>123</v>
      </c>
      <c r="G61" s="70"/>
      <c r="H61" s="71"/>
      <c r="I61" s="71"/>
      <c r="J61" s="72"/>
    </row>
    <row r="62" spans="1:10" ht="147.75" customHeight="1" thickBot="1" x14ac:dyDescent="0.3">
      <c r="A62" s="26">
        <v>22</v>
      </c>
      <c r="B62" s="7" t="s">
        <v>124</v>
      </c>
      <c r="C62" s="117">
        <v>0</v>
      </c>
      <c r="D62" s="118"/>
      <c r="E62" s="119"/>
      <c r="F62" s="28" t="s">
        <v>125</v>
      </c>
      <c r="G62" s="70"/>
      <c r="H62" s="71"/>
      <c r="I62" s="71"/>
      <c r="J62" s="72"/>
    </row>
    <row r="63" spans="1:10" ht="96" customHeight="1" thickBot="1" x14ac:dyDescent="0.3">
      <c r="A63" s="26">
        <v>23</v>
      </c>
      <c r="B63" s="19" t="s">
        <v>126</v>
      </c>
      <c r="C63" s="117">
        <v>0</v>
      </c>
      <c r="D63" s="118"/>
      <c r="E63" s="119"/>
      <c r="F63" s="32" t="s">
        <v>127</v>
      </c>
      <c r="G63" s="70"/>
      <c r="H63" s="71"/>
      <c r="I63" s="71"/>
      <c r="J63" s="72"/>
    </row>
    <row r="64" spans="1:10" ht="144" customHeight="1" thickBot="1" x14ac:dyDescent="0.3">
      <c r="A64" s="26">
        <v>24</v>
      </c>
      <c r="B64" s="7" t="s">
        <v>128</v>
      </c>
      <c r="C64" s="117">
        <v>0</v>
      </c>
      <c r="D64" s="118"/>
      <c r="E64" s="119"/>
      <c r="F64" s="27" t="s">
        <v>129</v>
      </c>
      <c r="G64" s="70"/>
      <c r="H64" s="71"/>
      <c r="I64" s="71"/>
      <c r="J64" s="72"/>
    </row>
    <row r="65" spans="1:10" ht="72.75" customHeight="1" thickBot="1" x14ac:dyDescent="0.3">
      <c r="A65" s="26">
        <v>25</v>
      </c>
      <c r="B65" s="7" t="s">
        <v>130</v>
      </c>
      <c r="C65" s="117">
        <v>0</v>
      </c>
      <c r="D65" s="118"/>
      <c r="E65" s="119"/>
      <c r="F65" s="27" t="s">
        <v>131</v>
      </c>
      <c r="G65" s="70"/>
      <c r="H65" s="71"/>
      <c r="I65" s="71"/>
      <c r="J65" s="72"/>
    </row>
    <row r="66" spans="1:10" ht="116.25" customHeight="1" thickBot="1" x14ac:dyDescent="0.3">
      <c r="A66" s="26">
        <v>26</v>
      </c>
      <c r="B66" s="7" t="s">
        <v>132</v>
      </c>
      <c r="C66" s="117">
        <v>0</v>
      </c>
      <c r="D66" s="118"/>
      <c r="E66" s="119"/>
      <c r="F66" s="28" t="s">
        <v>133</v>
      </c>
      <c r="G66" s="70"/>
      <c r="H66" s="71"/>
      <c r="I66" s="71"/>
      <c r="J66" s="72"/>
    </row>
    <row r="67" spans="1:10" ht="15.75" thickBot="1" x14ac:dyDescent="0.3">
      <c r="A67" s="115" t="s">
        <v>134</v>
      </c>
      <c r="B67" s="116"/>
      <c r="C67" s="73" t="s">
        <v>76</v>
      </c>
      <c r="D67" s="74"/>
      <c r="E67" s="75"/>
      <c r="F67" s="39" t="s">
        <v>54</v>
      </c>
      <c r="G67" s="73" t="s">
        <v>58</v>
      </c>
      <c r="H67" s="74"/>
      <c r="I67" s="74"/>
      <c r="J67" s="75"/>
    </row>
    <row r="68" spans="1:10" ht="54" customHeight="1" thickBot="1" x14ac:dyDescent="0.3">
      <c r="A68" s="25">
        <v>27</v>
      </c>
      <c r="B68" s="18" t="s">
        <v>135</v>
      </c>
      <c r="C68" s="117">
        <v>0</v>
      </c>
      <c r="D68" s="118"/>
      <c r="E68" s="119"/>
      <c r="F68" s="33"/>
      <c r="G68" s="70"/>
      <c r="H68" s="71"/>
      <c r="I68" s="71"/>
      <c r="J68" s="72"/>
    </row>
    <row r="69" spans="1:10" ht="69" customHeight="1" thickBot="1" x14ac:dyDescent="0.3">
      <c r="A69" s="25">
        <v>28</v>
      </c>
      <c r="B69" s="18" t="s">
        <v>136</v>
      </c>
      <c r="C69" s="117">
        <v>0</v>
      </c>
      <c r="D69" s="118"/>
      <c r="E69" s="119"/>
      <c r="F69" s="33" t="s">
        <v>137</v>
      </c>
      <c r="G69" s="70"/>
      <c r="H69" s="71"/>
      <c r="I69" s="71"/>
      <c r="J69" s="72"/>
    </row>
    <row r="70" spans="1:10" ht="60.75" customHeight="1" thickBot="1" x14ac:dyDescent="0.3">
      <c r="A70" s="25">
        <v>29</v>
      </c>
      <c r="B70" s="19" t="s">
        <v>138</v>
      </c>
      <c r="C70" s="117">
        <v>0</v>
      </c>
      <c r="D70" s="118"/>
      <c r="E70" s="119"/>
      <c r="F70" s="22" t="s">
        <v>139</v>
      </c>
      <c r="G70" s="70"/>
      <c r="H70" s="71"/>
      <c r="I70" s="71"/>
      <c r="J70" s="72"/>
    </row>
    <row r="71" spans="1:10" ht="86.25" customHeight="1" thickBot="1" x14ac:dyDescent="0.3">
      <c r="A71" s="25">
        <v>30</v>
      </c>
      <c r="B71" s="7" t="s">
        <v>140</v>
      </c>
      <c r="C71" s="117">
        <v>0</v>
      </c>
      <c r="D71" s="118"/>
      <c r="E71" s="119"/>
      <c r="F71" s="28" t="s">
        <v>141</v>
      </c>
      <c r="G71" s="70"/>
      <c r="H71" s="71"/>
      <c r="I71" s="71"/>
      <c r="J71" s="72"/>
    </row>
    <row r="72" spans="1:10" ht="15.75" thickBot="1" x14ac:dyDescent="0.3">
      <c r="A72" s="115" t="s">
        <v>142</v>
      </c>
      <c r="B72" s="116"/>
      <c r="C72" s="73" t="s">
        <v>76</v>
      </c>
      <c r="D72" s="74"/>
      <c r="E72" s="75"/>
      <c r="F72" s="39" t="s">
        <v>54</v>
      </c>
      <c r="G72" s="73" t="s">
        <v>58</v>
      </c>
      <c r="H72" s="74"/>
      <c r="I72" s="74"/>
      <c r="J72" s="75"/>
    </row>
    <row r="73" spans="1:10" ht="147" customHeight="1" thickBot="1" x14ac:dyDescent="0.3">
      <c r="A73" s="26">
        <v>31</v>
      </c>
      <c r="B73" s="19" t="s">
        <v>143</v>
      </c>
      <c r="C73" s="117">
        <v>0</v>
      </c>
      <c r="D73" s="118"/>
      <c r="E73" s="119"/>
      <c r="F73" s="20" t="s">
        <v>144</v>
      </c>
      <c r="G73" s="98"/>
      <c r="H73" s="99"/>
      <c r="I73" s="99"/>
      <c r="J73" s="100"/>
    </row>
    <row r="74" spans="1:10" ht="82.15" customHeight="1" thickBot="1" x14ac:dyDescent="0.3">
      <c r="A74" s="9">
        <v>32</v>
      </c>
      <c r="B74" s="7" t="s">
        <v>145</v>
      </c>
      <c r="C74" s="117">
        <v>0</v>
      </c>
      <c r="D74" s="118"/>
      <c r="E74" s="119"/>
      <c r="F74" s="28" t="s">
        <v>146</v>
      </c>
      <c r="G74" s="79"/>
      <c r="H74" s="80"/>
      <c r="I74" s="80"/>
      <c r="J74" s="81"/>
    </row>
    <row r="75" spans="1:10" ht="22.5" customHeight="1" thickBot="1" x14ac:dyDescent="0.3">
      <c r="A75" s="115"/>
      <c r="B75" s="116"/>
      <c r="C75" s="73" t="s">
        <v>76</v>
      </c>
      <c r="D75" s="74"/>
      <c r="E75" s="75"/>
      <c r="F75" s="39" t="s">
        <v>54</v>
      </c>
      <c r="G75" s="39" t="s">
        <v>55</v>
      </c>
      <c r="H75" s="39" t="s">
        <v>56</v>
      </c>
      <c r="I75" s="39" t="s">
        <v>57</v>
      </c>
      <c r="J75" s="39" t="s">
        <v>58</v>
      </c>
    </row>
    <row r="76" spans="1:10" ht="345" customHeight="1" thickBot="1" x14ac:dyDescent="0.3">
      <c r="A76" s="19">
        <v>33</v>
      </c>
      <c r="B76" s="19" t="s">
        <v>147</v>
      </c>
      <c r="C76" s="117">
        <v>0</v>
      </c>
      <c r="D76" s="118"/>
      <c r="E76" s="119"/>
      <c r="F76" s="52" t="s">
        <v>148</v>
      </c>
      <c r="G76" s="36"/>
      <c r="H76" s="36"/>
      <c r="I76" s="37" t="e">
        <f>G76/H76</f>
        <v>#DIV/0!</v>
      </c>
      <c r="J76" s="23" t="s">
        <v>149</v>
      </c>
    </row>
    <row r="77" spans="1:10" x14ac:dyDescent="0.25">
      <c r="A77" s="29"/>
      <c r="B77" s="15"/>
      <c r="C77" s="30"/>
      <c r="D77" s="30"/>
      <c r="E77" s="30"/>
      <c r="F77" s="15"/>
      <c r="G77" s="15"/>
      <c r="H77" s="15"/>
      <c r="I77" s="15"/>
      <c r="J77" s="30"/>
    </row>
    <row r="78" spans="1:10" ht="15.75" thickBot="1" x14ac:dyDescent="0.3">
      <c r="A78" s="1"/>
      <c r="B78" s="6"/>
      <c r="C78" s="13"/>
      <c r="D78" s="13"/>
      <c r="E78" s="13"/>
      <c r="F78" s="6"/>
      <c r="G78" s="6"/>
      <c r="H78" s="6"/>
      <c r="I78" s="6"/>
      <c r="J78" s="13"/>
    </row>
    <row r="79" spans="1:10" ht="15.75" thickBot="1" x14ac:dyDescent="0.3">
      <c r="A79" s="125" t="s">
        <v>150</v>
      </c>
      <c r="B79" s="126"/>
      <c r="C79" s="126"/>
      <c r="D79" s="126"/>
      <c r="E79" s="126"/>
      <c r="F79" s="126"/>
      <c r="G79" s="126"/>
      <c r="H79" s="126"/>
      <c r="I79" s="126"/>
      <c r="J79" s="127"/>
    </row>
    <row r="80" spans="1:10" ht="15.75" thickBot="1" x14ac:dyDescent="0.3">
      <c r="A80" s="128" t="s">
        <v>151</v>
      </c>
      <c r="B80" s="129"/>
      <c r="C80" s="4" t="s">
        <v>152</v>
      </c>
      <c r="D80" s="128" t="s">
        <v>153</v>
      </c>
      <c r="E80" s="129"/>
      <c r="F80" s="128" t="s">
        <v>154</v>
      </c>
      <c r="G80" s="135"/>
      <c r="H80" s="129"/>
      <c r="I80" s="128" t="s">
        <v>155</v>
      </c>
      <c r="J80" s="129"/>
    </row>
    <row r="81" spans="1:10" ht="15.75" customHeight="1" thickBot="1" x14ac:dyDescent="0.3">
      <c r="A81" s="130" t="s">
        <v>156</v>
      </c>
      <c r="B81" s="131"/>
      <c r="C81" s="14">
        <f>COUNT(C34,C36,C38:C47)</f>
        <v>12</v>
      </c>
      <c r="D81" s="98">
        <f>SUM(C34:C47)</f>
        <v>0</v>
      </c>
      <c r="E81" s="100"/>
      <c r="F81" s="136">
        <f>D81/C81</f>
        <v>0</v>
      </c>
      <c r="G81" s="137"/>
      <c r="H81" s="138"/>
      <c r="I81" s="98" t="str">
        <f>IF(F81&lt;0.6,"POR LOGRAR",IF(AND(F81&lt;0.9,F81&gt;=0.6),"PARCIALMENTE LOGRADO","LOGRADO"))</f>
        <v>POR LOGRAR</v>
      </c>
      <c r="J81" s="100"/>
    </row>
    <row r="82" spans="1:10" ht="15.75" customHeight="1" thickBot="1" x14ac:dyDescent="0.3">
      <c r="A82" s="130" t="s">
        <v>157</v>
      </c>
      <c r="B82" s="131"/>
      <c r="C82" s="14">
        <f>COUNT(C76,C74,C73,C71,C70,C69,C68,C66,C65,C64,C63,C62,C61,C59,C58,C57,C56,C55,C54,C53,C52)</f>
        <v>21</v>
      </c>
      <c r="D82" s="98">
        <f>SUM(C52:C76)</f>
        <v>0</v>
      </c>
      <c r="E82" s="100"/>
      <c r="F82" s="136">
        <f>D82/C82</f>
        <v>0</v>
      </c>
      <c r="G82" s="137"/>
      <c r="H82" s="138"/>
      <c r="I82" s="98" t="str">
        <f>IF(F82&lt;0.6,"POR LOGRAR",IF(AND(F82&lt;0.9,F82&gt;=0.6),"PARCIALMENTE LOGRADO","LOGRADO"))</f>
        <v>POR LOGRAR</v>
      </c>
      <c r="J82" s="100"/>
    </row>
    <row r="83" spans="1:10" x14ac:dyDescent="0.25">
      <c r="A83" s="132"/>
      <c r="B83" s="132"/>
      <c r="C83" s="132"/>
      <c r="D83" s="132"/>
      <c r="E83" s="132"/>
      <c r="F83" s="132"/>
      <c r="G83" s="132"/>
      <c r="H83" s="132"/>
      <c r="I83" s="132"/>
      <c r="J83" s="132"/>
    </row>
    <row r="84" spans="1:10" ht="15.75" thickBot="1" x14ac:dyDescent="0.3">
      <c r="A84" s="133"/>
      <c r="B84" s="133"/>
      <c r="C84" s="133"/>
      <c r="D84" s="133"/>
      <c r="E84" s="133"/>
      <c r="F84" s="133"/>
      <c r="G84" s="133"/>
      <c r="H84" s="133"/>
      <c r="I84" s="133"/>
      <c r="J84" s="133"/>
    </row>
    <row r="85" spans="1:10" ht="15.75" thickBot="1" x14ac:dyDescent="0.3">
      <c r="A85" s="130"/>
      <c r="B85" s="134"/>
      <c r="C85" s="134"/>
      <c r="D85" s="134"/>
      <c r="E85" s="134"/>
      <c r="F85" s="134"/>
      <c r="G85" s="134"/>
      <c r="H85" s="134"/>
      <c r="I85" s="134"/>
      <c r="J85" s="131"/>
    </row>
    <row r="86" spans="1:10" ht="15.75" thickBot="1" x14ac:dyDescent="0.3">
      <c r="A86" s="64"/>
      <c r="B86" s="65"/>
      <c r="C86" s="65"/>
      <c r="D86" s="65"/>
      <c r="E86" s="65"/>
      <c r="F86" s="65"/>
      <c r="G86" s="65"/>
      <c r="H86" s="65"/>
      <c r="I86" s="65"/>
      <c r="J86" s="66"/>
    </row>
    <row r="87" spans="1:10" ht="15.75" thickBot="1" x14ac:dyDescent="0.3">
      <c r="A87" s="64"/>
      <c r="B87" s="65"/>
      <c r="C87" s="65"/>
      <c r="D87" s="65"/>
      <c r="E87" s="65"/>
      <c r="F87" s="65"/>
      <c r="G87" s="65"/>
      <c r="H87" s="65"/>
      <c r="I87" s="65"/>
      <c r="J87" s="66"/>
    </row>
    <row r="88" spans="1:10" ht="15.75" thickBot="1" x14ac:dyDescent="0.3">
      <c r="A88" s="64"/>
      <c r="B88" s="65"/>
      <c r="C88" s="65"/>
      <c r="D88" s="65"/>
      <c r="E88" s="65"/>
      <c r="F88" s="65"/>
      <c r="G88" s="65"/>
      <c r="H88" s="65"/>
      <c r="I88" s="65"/>
      <c r="J88" s="66"/>
    </row>
    <row r="89" spans="1:10" ht="15.75" thickBot="1" x14ac:dyDescent="0.3">
      <c r="A89" s="64"/>
      <c r="B89" s="65"/>
      <c r="C89" s="65"/>
      <c r="D89" s="65"/>
      <c r="E89" s="65"/>
      <c r="F89" s="65"/>
      <c r="G89" s="65"/>
      <c r="H89" s="65"/>
      <c r="I89" s="65"/>
      <c r="J89" s="66"/>
    </row>
    <row r="90" spans="1:10" x14ac:dyDescent="0.25">
      <c r="A90" s="64"/>
      <c r="B90" s="65"/>
      <c r="C90" s="65"/>
      <c r="D90" s="65"/>
      <c r="E90" s="65"/>
      <c r="F90" s="65"/>
      <c r="G90" s="65"/>
      <c r="H90" s="65"/>
      <c r="I90" s="65"/>
      <c r="J90" s="66"/>
    </row>
    <row r="91" spans="1:10" ht="15.75" thickBot="1" x14ac:dyDescent="0.3">
      <c r="A91" s="64"/>
      <c r="B91" s="65"/>
      <c r="C91" s="65"/>
      <c r="D91" s="65"/>
      <c r="E91" s="65"/>
      <c r="F91" s="65"/>
      <c r="G91" s="65"/>
      <c r="H91" s="65"/>
      <c r="I91" s="65"/>
      <c r="J91" s="66"/>
    </row>
    <row r="92" spans="1:10" ht="15.75" thickBot="1" x14ac:dyDescent="0.3">
      <c r="A92" s="64"/>
      <c r="B92" s="65"/>
      <c r="C92" s="65"/>
      <c r="D92" s="65"/>
      <c r="E92" s="65"/>
      <c r="F92" s="65"/>
      <c r="G92" s="65"/>
      <c r="H92" s="65"/>
      <c r="I92" s="65"/>
      <c r="J92" s="66"/>
    </row>
    <row r="93" spans="1:10" ht="15.75" thickBot="1" x14ac:dyDescent="0.3">
      <c r="A93" s="64"/>
      <c r="B93" s="65"/>
      <c r="C93" s="65"/>
      <c r="D93" s="65"/>
      <c r="E93" s="65"/>
      <c r="F93" s="65"/>
      <c r="G93" s="65"/>
      <c r="H93" s="65"/>
      <c r="I93" s="65"/>
      <c r="J93" s="66"/>
    </row>
    <row r="94" spans="1:10" ht="15.75" thickBot="1" x14ac:dyDescent="0.3">
      <c r="A94" s="64"/>
      <c r="B94" s="65"/>
      <c r="C94" s="65"/>
      <c r="D94" s="65"/>
      <c r="E94" s="65"/>
      <c r="F94" s="65"/>
      <c r="G94" s="65"/>
      <c r="H94" s="65"/>
      <c r="I94" s="65"/>
      <c r="J94" s="66"/>
    </row>
    <row r="95" spans="1:10" ht="15.75" thickBot="1" x14ac:dyDescent="0.3">
      <c r="A95" s="64"/>
      <c r="B95" s="65"/>
      <c r="C95" s="65"/>
      <c r="D95" s="65"/>
      <c r="E95" s="65"/>
      <c r="F95" s="65"/>
      <c r="G95" s="65"/>
      <c r="H95" s="65"/>
      <c r="I95" s="65"/>
      <c r="J95" s="66"/>
    </row>
    <row r="96" spans="1:10" ht="15.75" thickBot="1" x14ac:dyDescent="0.3">
      <c r="A96" s="64"/>
      <c r="B96" s="65"/>
      <c r="C96" s="65"/>
      <c r="D96" s="65"/>
      <c r="E96" s="65"/>
      <c r="F96" s="65"/>
      <c r="G96" s="65"/>
      <c r="H96" s="65"/>
      <c r="I96" s="65"/>
      <c r="J96" s="66"/>
    </row>
    <row r="97" spans="1:10" ht="15.75" thickBot="1" x14ac:dyDescent="0.3">
      <c r="A97" s="130" t="s">
        <v>158</v>
      </c>
      <c r="B97" s="134"/>
      <c r="C97" s="134"/>
      <c r="D97" s="134"/>
      <c r="E97" s="134"/>
      <c r="F97" s="134"/>
      <c r="G97" s="134"/>
      <c r="H97" s="134"/>
      <c r="I97" s="134"/>
      <c r="J97" s="131"/>
    </row>
    <row r="98" spans="1:10" ht="15.75" thickBot="1" x14ac:dyDescent="0.3">
      <c r="A98" s="64"/>
      <c r="B98" s="65"/>
      <c r="C98" s="65"/>
      <c r="D98" s="65"/>
      <c r="E98" s="65"/>
      <c r="F98" s="65"/>
      <c r="G98" s="65"/>
      <c r="H98" s="65"/>
      <c r="I98" s="65"/>
      <c r="J98" s="66"/>
    </row>
    <row r="99" spans="1:10" ht="15.75" thickBot="1" x14ac:dyDescent="0.3">
      <c r="A99" s="64"/>
      <c r="B99" s="65"/>
      <c r="C99" s="65"/>
      <c r="D99" s="65"/>
      <c r="E99" s="65"/>
      <c r="F99" s="65"/>
      <c r="G99" s="65"/>
      <c r="H99" s="65"/>
      <c r="I99" s="65"/>
      <c r="J99" s="66"/>
    </row>
    <row r="100" spans="1:10" ht="15.75" thickBot="1" x14ac:dyDescent="0.3">
      <c r="A100" s="64"/>
      <c r="B100" s="65"/>
      <c r="C100" s="65"/>
      <c r="D100" s="65"/>
      <c r="E100" s="65"/>
      <c r="F100" s="65"/>
      <c r="G100" s="65"/>
      <c r="H100" s="65"/>
      <c r="I100" s="65"/>
      <c r="J100" s="66"/>
    </row>
    <row r="101" spans="1:10" ht="15.75" thickBot="1" x14ac:dyDescent="0.3">
      <c r="A101" s="64"/>
      <c r="B101" s="65"/>
      <c r="C101" s="65"/>
      <c r="D101" s="65"/>
      <c r="E101" s="65"/>
      <c r="F101" s="65"/>
      <c r="G101" s="65"/>
      <c r="H101" s="65"/>
      <c r="I101" s="65"/>
      <c r="J101" s="66"/>
    </row>
    <row r="102" spans="1:10" ht="15.75" thickBot="1" x14ac:dyDescent="0.3">
      <c r="A102" s="64"/>
      <c r="B102" s="65"/>
      <c r="C102" s="65"/>
      <c r="D102" s="65"/>
      <c r="E102" s="65"/>
      <c r="F102" s="65"/>
      <c r="G102" s="65"/>
      <c r="H102" s="65"/>
      <c r="I102" s="65"/>
      <c r="J102" s="66"/>
    </row>
    <row r="103" spans="1:10" ht="15.75" thickBot="1" x14ac:dyDescent="0.3">
      <c r="A103" s="64"/>
      <c r="B103" s="65"/>
      <c r="C103" s="65"/>
      <c r="D103" s="65"/>
      <c r="E103" s="65"/>
      <c r="F103" s="65"/>
      <c r="G103" s="65"/>
      <c r="H103" s="65"/>
      <c r="I103" s="65"/>
      <c r="J103" s="66"/>
    </row>
    <row r="104" spans="1:10" ht="15.75" thickBot="1" x14ac:dyDescent="0.3">
      <c r="A104" s="64"/>
      <c r="B104" s="65"/>
      <c r="C104" s="65"/>
      <c r="D104" s="65"/>
      <c r="E104" s="65"/>
      <c r="F104" s="65"/>
      <c r="G104" s="65"/>
      <c r="H104" s="65"/>
      <c r="I104" s="65"/>
      <c r="J104" s="66"/>
    </row>
    <row r="105" spans="1:10" ht="15.75" thickBot="1" x14ac:dyDescent="0.3">
      <c r="A105" s="64"/>
      <c r="B105" s="65"/>
      <c r="C105" s="65"/>
      <c r="D105" s="65"/>
      <c r="E105" s="65"/>
      <c r="F105" s="65"/>
      <c r="G105" s="65"/>
      <c r="H105" s="65"/>
      <c r="I105" s="65"/>
      <c r="J105" s="66"/>
    </row>
    <row r="106" spans="1:10" ht="15.75" thickBot="1" x14ac:dyDescent="0.3">
      <c r="A106" s="64"/>
      <c r="B106" s="65"/>
      <c r="C106" s="65"/>
      <c r="D106" s="65"/>
      <c r="E106" s="65"/>
      <c r="F106" s="65"/>
      <c r="G106" s="65"/>
      <c r="H106" s="65"/>
      <c r="I106" s="65"/>
      <c r="J106" s="66"/>
    </row>
    <row r="107" spans="1:10" ht="15.75" thickBot="1" x14ac:dyDescent="0.3">
      <c r="A107" s="64"/>
      <c r="B107" s="65"/>
      <c r="C107" s="65"/>
      <c r="D107" s="65"/>
      <c r="E107" s="65"/>
      <c r="F107" s="65"/>
      <c r="G107" s="65"/>
      <c r="H107" s="65"/>
      <c r="I107" s="65"/>
      <c r="J107" s="66"/>
    </row>
    <row r="200" spans="1:1" x14ac:dyDescent="0.25">
      <c r="A200">
        <v>0</v>
      </c>
    </row>
    <row r="201" spans="1:1" x14ac:dyDescent="0.25">
      <c r="A201">
        <v>1</v>
      </c>
    </row>
    <row r="204" spans="1:1" x14ac:dyDescent="0.25">
      <c r="A204">
        <v>0</v>
      </c>
    </row>
    <row r="205" spans="1:1" x14ac:dyDescent="0.25">
      <c r="A205">
        <v>1</v>
      </c>
    </row>
    <row r="206" spans="1:1" x14ac:dyDescent="0.25">
      <c r="A206" t="s">
        <v>159</v>
      </c>
    </row>
  </sheetData>
  <mergeCells count="155">
    <mergeCell ref="A97:J97"/>
    <mergeCell ref="A103:J103"/>
    <mergeCell ref="A104:J104"/>
    <mergeCell ref="A105:J105"/>
    <mergeCell ref="A106:J106"/>
    <mergeCell ref="A107:J107"/>
    <mergeCell ref="A91:J91"/>
    <mergeCell ref="A92:J92"/>
    <mergeCell ref="A93:J93"/>
    <mergeCell ref="A94:J94"/>
    <mergeCell ref="A95:J95"/>
    <mergeCell ref="A96:J96"/>
    <mergeCell ref="A99:J99"/>
    <mergeCell ref="A100:J100"/>
    <mergeCell ref="A101:J101"/>
    <mergeCell ref="A102:J102"/>
    <mergeCell ref="A79:J79"/>
    <mergeCell ref="A80:B80"/>
    <mergeCell ref="D80:E80"/>
    <mergeCell ref="A81:B81"/>
    <mergeCell ref="D81:E81"/>
    <mergeCell ref="A83:J84"/>
    <mergeCell ref="A85:J85"/>
    <mergeCell ref="A82:B82"/>
    <mergeCell ref="D82:E82"/>
    <mergeCell ref="I80:J80"/>
    <mergeCell ref="I81:J81"/>
    <mergeCell ref="I82:J82"/>
    <mergeCell ref="F80:H80"/>
    <mergeCell ref="F81:H81"/>
    <mergeCell ref="F82:H82"/>
    <mergeCell ref="C74:E74"/>
    <mergeCell ref="C76:E76"/>
    <mergeCell ref="A72:B72"/>
    <mergeCell ref="C72:E72"/>
    <mergeCell ref="C73:E73"/>
    <mergeCell ref="G74:J74"/>
    <mergeCell ref="G73:J73"/>
    <mergeCell ref="A75:B75"/>
    <mergeCell ref="C75:E75"/>
    <mergeCell ref="G72:J72"/>
    <mergeCell ref="C70:E70"/>
    <mergeCell ref="C71:E71"/>
    <mergeCell ref="C69:E69"/>
    <mergeCell ref="C64:E64"/>
    <mergeCell ref="C65:E65"/>
    <mergeCell ref="C66:E66"/>
    <mergeCell ref="A67:B67"/>
    <mergeCell ref="C67:E67"/>
    <mergeCell ref="C68:E68"/>
    <mergeCell ref="C62:E62"/>
    <mergeCell ref="C63:E63"/>
    <mergeCell ref="A60:B60"/>
    <mergeCell ref="C60:E60"/>
    <mergeCell ref="C61:E61"/>
    <mergeCell ref="C58:E58"/>
    <mergeCell ref="C59:E59"/>
    <mergeCell ref="C56:E56"/>
    <mergeCell ref="C57:E57"/>
    <mergeCell ref="C55:E55"/>
    <mergeCell ref="C52:E52"/>
    <mergeCell ref="C53:E53"/>
    <mergeCell ref="C47:E47"/>
    <mergeCell ref="D48:E48"/>
    <mergeCell ref="D49:E49"/>
    <mergeCell ref="A50:J50"/>
    <mergeCell ref="A51:B51"/>
    <mergeCell ref="C51:E51"/>
    <mergeCell ref="G47:J47"/>
    <mergeCell ref="G51:J51"/>
    <mergeCell ref="G52:J52"/>
    <mergeCell ref="G53:J53"/>
    <mergeCell ref="G54:J54"/>
    <mergeCell ref="G55:J55"/>
    <mergeCell ref="C41:E41"/>
    <mergeCell ref="C42:E42"/>
    <mergeCell ref="C43:E43"/>
    <mergeCell ref="C44:E44"/>
    <mergeCell ref="C45:E45"/>
    <mergeCell ref="C46:E46"/>
    <mergeCell ref="C39:E39"/>
    <mergeCell ref="C40:E40"/>
    <mergeCell ref="C54:E54"/>
    <mergeCell ref="A33:B33"/>
    <mergeCell ref="C33:E33"/>
    <mergeCell ref="C36:E36"/>
    <mergeCell ref="A32:J32"/>
    <mergeCell ref="C28:E28"/>
    <mergeCell ref="C29:E29"/>
    <mergeCell ref="C34:E34"/>
    <mergeCell ref="A35:B35"/>
    <mergeCell ref="C35:E35"/>
    <mergeCell ref="C26:E26"/>
    <mergeCell ref="C27:E27"/>
    <mergeCell ref="A19:J19"/>
    <mergeCell ref="D20:E20"/>
    <mergeCell ref="A21:J21"/>
    <mergeCell ref="A22:B22"/>
    <mergeCell ref="C22:E22"/>
    <mergeCell ref="C25:E25"/>
    <mergeCell ref="A13:J13"/>
    <mergeCell ref="A14:J14"/>
    <mergeCell ref="A15:J15"/>
    <mergeCell ref="A16:J16"/>
    <mergeCell ref="A17:J17"/>
    <mergeCell ref="A18:J18"/>
    <mergeCell ref="C23:E23"/>
    <mergeCell ref="C24:E24"/>
    <mergeCell ref="A7:J7"/>
    <mergeCell ref="A8:J8"/>
    <mergeCell ref="A9:J9"/>
    <mergeCell ref="A10:J10"/>
    <mergeCell ref="A11:J11"/>
    <mergeCell ref="A12:J12"/>
    <mergeCell ref="A1:J1"/>
    <mergeCell ref="A2:J2"/>
    <mergeCell ref="A3:J3"/>
    <mergeCell ref="A4:J4"/>
    <mergeCell ref="A5:J5"/>
    <mergeCell ref="A6:J6"/>
    <mergeCell ref="G63:J63"/>
    <mergeCell ref="G64:J64"/>
    <mergeCell ref="G38:J38"/>
    <mergeCell ref="G39:J39"/>
    <mergeCell ref="G40:J40"/>
    <mergeCell ref="G41:J41"/>
    <mergeCell ref="G42:J42"/>
    <mergeCell ref="G43:J43"/>
    <mergeCell ref="G44:J44"/>
    <mergeCell ref="G45:J45"/>
    <mergeCell ref="G46:J46"/>
    <mergeCell ref="A37:B37"/>
    <mergeCell ref="C37:E37"/>
    <mergeCell ref="G37:J37"/>
    <mergeCell ref="A90:J90"/>
    <mergeCell ref="A89:J89"/>
    <mergeCell ref="A88:J88"/>
    <mergeCell ref="A87:J87"/>
    <mergeCell ref="A86:J86"/>
    <mergeCell ref="A98:J98"/>
    <mergeCell ref="C38:E38"/>
    <mergeCell ref="G65:J65"/>
    <mergeCell ref="G66:J66"/>
    <mergeCell ref="G68:J68"/>
    <mergeCell ref="G69:J69"/>
    <mergeCell ref="G67:J67"/>
    <mergeCell ref="G70:J70"/>
    <mergeCell ref="G71:J71"/>
    <mergeCell ref="G56:J56"/>
    <mergeCell ref="G57:J57"/>
    <mergeCell ref="G58:J58"/>
    <mergeCell ref="G59:J59"/>
    <mergeCell ref="G61:J61"/>
    <mergeCell ref="G62:J62"/>
    <mergeCell ref="G60:J60"/>
  </mergeCells>
  <conditionalFormatting sqref="I81:I82">
    <cfRule type="cellIs" dxfId="2" priority="16" operator="equal">
      <formula>"LOGRADO"</formula>
    </cfRule>
    <cfRule type="cellIs" dxfId="1" priority="17" operator="equal">
      <formula>"PARCIALMENTE LOGRADO"</formula>
    </cfRule>
    <cfRule type="cellIs" dxfId="0" priority="18" operator="equal">
      <formula>"POR LOGRAR"</formula>
    </cfRule>
  </conditionalFormatting>
  <dataValidations count="2">
    <dataValidation type="list" allowBlank="1" showInputMessage="1" showErrorMessage="1" sqref="C38:E47 C73:E73 C52:E59 C61:E66 C68:E71 C34:E34 C36:E36">
      <formula1>$A$200:$A$201</formula1>
    </dataValidation>
    <dataValidation type="list" allowBlank="1" showInputMessage="1" showErrorMessage="1" sqref="C76:E76 C74:E74">
      <formula1>$A$204:$A$206</formula1>
    </dataValidation>
  </dataValidations>
  <pageMargins left="0.7" right="0.7" top="0.75" bottom="0.75" header="0.3" footer="0.3"/>
  <pageSetup paperSize="9" scale="48" fitToHeight="0" orientation="landscape"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ANTECEDENTES</vt:lpstr>
      <vt:lpstr>PAUTA_ERA</vt:lpstr>
    </vt:vector>
  </TitlesOfParts>
  <LinksUpToDate>false</LinksUpToDate>
  <SharedDoc>false</SharedDoc>
  <HyperlinkBase/>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Polly</dc:creator>
  <cp:lastModifiedBy>Gloria Carolina Torres Huenchual</cp:lastModifiedBy>
  <cp:revision/>
  <cp:lastPrinted>2025-10-28T14:24:15Z</cp:lastPrinted>
  <dcterms:created xsi:type="dcterms:W3CDTF">2023-06-20T16:54:04Z</dcterms:created>
  <dcterms:modified xsi:type="dcterms:W3CDTF">2025-10-28T15:53:38Z</dcterms:modified>
</cp:coreProperties>
</file>